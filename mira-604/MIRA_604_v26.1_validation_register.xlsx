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book.xml" ContentType="application/vnd.openxmlformats-officedocument.spreadsheetml.sheet.main+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Rule register" sheetId="2" state="visible" r:id="rId2"/>
    <sheet xmlns:r="http://schemas.openxmlformats.org/officeDocument/2006/relationships" name="Conditional locks" sheetId="3" state="visible" r:id="rId3"/>
    <sheet xmlns:r="http://schemas.openxmlformats.org/officeDocument/2006/relationships" name="Rates &amp; thresholds" sheetId="4" state="visible" r:id="rId4"/>
    <sheet xmlns:r="http://schemas.openxmlformats.org/officeDocument/2006/relationships" name="Defects" sheetId="5" state="visible" r:id="rId5"/>
    <sheet xmlns:r="http://schemas.openxmlformats.org/officeDocument/2006/relationships" name="Field inventory" sheetId="6" state="visible" r:id="rId6"/>
    <sheet xmlns:r="http://schemas.openxmlformats.org/officeDocument/2006/relationships" name="Portal checks" sheetId="7" state="visible" r:id="rId9"/>
    <sheet xmlns:r="http://schemas.openxmlformats.org/officeDocument/2006/relationships" name="Portal test script" sheetId="8" state="visible" r:id="rId10"/>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0B5C63"/>
      <sz val="14"/>
    </font>
    <font>
      <b val="1"/>
      <color rgb="000B5C63"/>
      <sz val="12"/>
    </font>
    <font>
      <b val="1"/>
      <color rgb="00FFFFFF"/>
    </font>
  </fonts>
  <fills count="3">
    <fill>
      <patternFill/>
    </fill>
    <fill>
      <patternFill patternType="gray125"/>
    </fill>
    <fill>
      <patternFill patternType="solid">
        <fgColor rgb="000B5C63"/>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2" borderId="0" applyAlignment="1" pivotButton="0" quotePrefix="0" xfId="0">
      <alignment vertical="center" wrapText="1"/>
    </xf>
  </cellXfs>
  <cellStyles count="1">
    <cellStyle name="Normal" xfId="0" builtinId="0" hidden="0"/>
  </cellStyles>
  <dxfs count="3">
    <dxf>
      <fill>
        <patternFill patternType="solid">
          <fgColor rgb="00F8D7DA"/>
        </patternFill>
      </fill>
    </dxf>
    <dxf>
      <fill>
        <patternFill patternType="solid">
          <fgColor rgb="00FFF3CD"/>
        </patternFill>
      </fill>
    </dxf>
    <dxf>
      <fill>
        <patternFill patternType="solid">
          <fgColor rgb="00D4EDDA"/>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 Type="http://schemas.openxmlformats.org/officeDocument/2006/relationships/worksheet" Target="/xl/worksheets/sheet7.xml" Id="rId9"/><Relationship Type="http://schemas.openxmlformats.org/officeDocument/2006/relationships/worksheet" Target="/xl/worksheets/sheet8.xml" Id="rId10"/></Relationships>
</file>

<file path=xl/tables/table1.xml><?xml version="1.0" encoding="utf-8"?>
<table xmlns="http://schemas.openxmlformats.org/spreadsheetml/2006/main" id="1" name="Register" displayName="Register" ref="A1:J193" headerRowCount="1">
  <autoFilter ref="A1:J193"/>
  <tableColumns count="10">
    <tableColumn id="1" name="ID"/>
    <tableColumn id="2" name="Page"/>
    <tableColumn id="3" name="Section"/>
    <tableColumn id="4" name="Box / item"/>
    <tableColumn id="5" name="XFA field"/>
    <tableColumn id="6" name="Rule type"/>
    <tableColumn id="7" name="What the form does"/>
    <tableColumn id="8" name="Printed instruction"/>
    <tableColumn id="9" name="Enforced?"/>
    <tableColumn id="10" name="Observation"/>
  </tableColumns>
  <tableStyleInfo name="TableStyleLight9" showRowStripes="1"/>
</table>
</file>

<file path=xl/tables/table2.xml><?xml version="1.0" encoding="utf-8"?>
<table xmlns="http://schemas.openxmlformats.org/spreadsheetml/2006/main" id="2" name="Locks" displayName="Locks" ref="A1:D16" headerRowCount="1">
  <autoFilter ref="A1:D16"/>
  <tableColumns count="4">
    <tableColumn id="1" name="Trigger"/>
    <tableColumn id="2" name="When answer is"/>
    <tableColumn id="3" name="Boxes opened / effect"/>
    <tableColumn id="4" name="Otherwise"/>
  </tableColumns>
  <tableStyleInfo name="TableStyleLight9" showRowStripes="1"/>
</table>
</file>

<file path=xl/tables/table3.xml><?xml version="1.0" encoding="utf-8"?>
<table xmlns="http://schemas.openxmlformats.org/spreadsheetml/2006/main" id="3" name="Rates" displayName="Rates" ref="A1:C17" headerRowCount="1">
  <autoFilter ref="A1:C17"/>
  <tableColumns count="3">
    <tableColumn id="1" name="Item"/>
    <tableColumn id="2" name="Value in script"/>
    <tableColumn id="3" name="Where used"/>
  </tableColumns>
  <tableStyleInfo name="TableStyleLight9" showRowStripes="1"/>
</table>
</file>

<file path=xl/tables/table4.xml><?xml version="1.0" encoding="utf-8"?>
<table xmlns="http://schemas.openxmlformats.org/spreadsheetml/2006/main" id="4" name="Defects" displayName="Defects" ref="A1:E15" headerRowCount="1">
  <autoFilter ref="A1:E15"/>
  <tableColumns count="5">
    <tableColumn id="1" name="Register ID"/>
    <tableColumn id="2" name="Page"/>
    <tableColumn id="3" name="Box / item"/>
    <tableColumn id="4" name="XFA field"/>
    <tableColumn id="5" name="Issue and impact"/>
  </tableColumns>
  <tableStyleInfo name="TableStyleLight9" showRowStripes="1"/>
</table>
</file>

<file path=xl/tables/table5.xml><?xml version="1.0" encoding="utf-8"?>
<table xmlns="http://schemas.openxmlformats.org/spreadsheetml/2006/main" id="5" name="Inventory" displayName="Inventory" ref="A1:M673" headerRowCount="1">
  <autoFilter ref="A1:M673"/>
  <tableColumns count="13">
    <tableColumn id="1" name="Field (XFA path)"/>
    <tableColumn id="2" name="Page"/>
    <tableColumn id="3" name="Control"/>
    <tableColumn id="4" name="Data type"/>
    <tableColumn id="5" name="Comb cells"/>
    <tableColumn id="6" name="Max chars"/>
    <tableColumn id="7" name="Validation picture"/>
    <tableColumn id="8" name="Display picture"/>
    <tableColumn id="9" name="Access"/>
    <tableColumn id="10" name="Calculated"/>
    <tableColumn id="11" name="Has event script"/>
    <tableColumn id="12" name="Format test"/>
    <tableColumn id="13" name="Dropdown items"/>
  </tableColumns>
  <tableStyleInfo name="TableStyleLight9" showRowStripes="1"/>
</table>
</file>

<file path=xl/tables/table6.xml><?xml version="1.0" encoding="utf-8"?>
<table xmlns="http://schemas.openxmlformats.org/spreadsheetml/2006/main" id="6" name="PortalChecks" displayName="PortalChecks" ref="A1:J33" headerRowCount="1">
  <autoFilter ref="A1:J33"/>
  <tableColumns count="10">
    <tableColumn id="1" name="ID"/>
    <tableColumn id="2" name="Portal screen/step"/>
    <tableColumn id="3" name="Field"/>
    <tableColumn id="4" name="Matching PDF section/box"/>
    <tableColumn id="5" name="Required in portal"/>
    <tableColumn id="6" name="Format/limit"/>
    <tableColumn id="7" name="Exact error message"/>
    <tableColumn id="8" name="How found"/>
    <tableColumn id="9" name="PDF rule (from Rule register)"/>
    <tableColumn id="10" name="Difference"/>
  </tableColumns>
  <tableStyleInfo name="TableStyleLight9" showRowStripes="1"/>
</table>
</file>

<file path=xl/tables/table7.xml><?xml version="1.0" encoding="utf-8"?>
<table xmlns="http://schemas.openxmlformats.org/spreadsheetml/2006/main" id="7" name="PortalTests" displayName="PortalTests" ref="A1:K39" headerRowCount="1">
  <autoFilter ref="A1:K39"/>
  <tableColumns count="11">
    <tableColumn id="1" name="Test ID"/>
    <tableColumn id="2" name="Priority"/>
    <tableColumn id="3" name="Area / PDF box"/>
    <tableColumn id="4" name="Starting state"/>
    <tableColumn id="5" name="Change to make"/>
    <tableColumn id="6" name="Expected result"/>
    <tableColumn id="7" name="Known message"/>
    <tableColumn id="8" name="Actual message (fill in)"/>
    <tableColumn id="9" name="Outcome (fill in)"/>
    <tableColumn id="10" name="Restore after test"/>
    <tableColumn id="11" name="Links (Portal checks / Rule register)"/>
  </tableColumns>
  <tableStyleInfo name="TableStyleLight9"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_rels/sheet5.xml.rels><Relationships xmlns="http://schemas.openxmlformats.org/package/2006/relationships"><Relationship Type="http://schemas.openxmlformats.org/officeDocument/2006/relationships/table" Target="/xl/tables/table4.xml" Id="rId1"/></Relationships>
</file>

<file path=xl/worksheets/_rels/sheet6.xml.rels><Relationships xmlns="http://schemas.openxmlformats.org/package/2006/relationships"><Relationship Type="http://schemas.openxmlformats.org/officeDocument/2006/relationships/table" Target="/xl/tables/table5.xml" Id="rId1"/></Relationships>
</file>

<file path=xl/worksheets/_rels/sheet7.xml.rels><Relationships xmlns="http://schemas.openxmlformats.org/package/2006/relationships"><Relationship Type="http://schemas.openxmlformats.org/officeDocument/2006/relationships/table" Target="/xl/tables/table6.xml" Id="rId1"/></Relationships>
</file>

<file path=xl/worksheets/_rels/sheet8.xml.rels><Relationships xmlns="http://schemas.openxmlformats.org/package/2006/relationships"><Relationship Type="http://schemas.openxmlformats.org/officeDocument/2006/relationships/table" Target="/xl/tables/table7.xml" Id="rId1"/></Relationships>
</file>

<file path=xl/worksheets/sheet1.xml><?xml version="1.0" encoding="utf-8"?>
<worksheet xmlns="http://schemas.openxmlformats.org/spreadsheetml/2006/main">
  <sheetPr>
    <outlinePr summaryBelow="1" summaryRight="1"/>
    <pageSetUpPr/>
  </sheetPr>
  <dimension ref="A1:B35"/>
  <sheetViews>
    <sheetView workbookViewId="0">
      <selection activeCell="A1" sqref="A1"/>
    </sheetView>
  </sheetViews>
  <sheetFormatPr baseColWidth="8" defaultRowHeight="15"/>
  <cols>
    <col width="22" customWidth="1" min="1" max="1"/>
    <col width="120" customWidth="1" min="2" max="2"/>
  </cols>
  <sheetData>
    <row r="1">
      <c r="A1" s="1" t="inlineStr">
        <is>
          <t xml:space="preserve">MIRA 604 Income Tax Return - Validation Register</t>
        </is>
      </c>
      <c r="B1" s="2"/>
    </row>
    <row r="2">
      <c r="A2" s="2" t="inlineStr">
        <is>
          <t xml:space="preserve">Form version</t>
        </is>
      </c>
      <c r="B2" s="2" t="inlineStr">
        <is>
          <t xml:space="preserve">26.1 (fillable PDF supplied 19 Oct 2026; built in Adobe LiveCycle Designer ES 9.0, XFA)</t>
        </is>
      </c>
    </row>
    <row r="3">
      <c r="A3" s="2" t="inlineStr">
        <is>
          <t xml:space="preserve">Source</t>
        </is>
      </c>
      <c r="B3" s="2" t="inlineStr">
        <is>
          <t xml:space="preserve">Extracted directly from the form's embedded XFA template (field settings, calculation scripts, event scripts, validation scripts), cross-checked against the printed instructions on all 17 pages.</t>
        </is>
      </c>
    </row>
    <row r="4">
      <c r="A4" s="2" t="inlineStr">
        <is>
          <t xml:space="preserve">Scope</t>
        </is>
      </c>
      <c r="B4" s="2" t="inlineStr">
        <is>
          <t xml:space="preserve">Rules built into the PDF, plus the checks MIRAconnect applies on its own 604 filing page (see 'Portal checks' and 'Portal vs PDF' below).</t>
        </is>
      </c>
    </row>
    <row r="5">
      <c r="A5" s="2"/>
      <c r="B5" s="2"/>
    </row>
    <row r="6">
      <c r="A6" s="3" t="inlineStr">
        <is>
          <t xml:space="preserve">Key findings</t>
        </is>
      </c>
      <c r="B6" s="2"/>
    </row>
    <row r="7">
      <c r="A7" s="2" t="inlineStr">
        <is>
          <t xml:space="preserve">1</t>
        </is>
      </c>
      <c r="B7" s="2" t="inlineStr">
        <is>
          <t xml:space="preserve">There are NO mandatory-field checks. Any box can be left empty.</t>
        </is>
      </c>
    </row>
    <row r="8">
      <c r="A8" s="2" t="inlineStr">
        <is>
          <t xml:space="preserve">2</t>
        </is>
      </c>
      <c r="B8" s="2" t="inlineStr">
        <is>
          <t xml:space="preserve">Only one hard error message exists: donation dates must be DDMMYYYY (page 15).</t>
        </is>
      </c>
    </row>
    <row r="9">
      <c r="A9" s="2" t="inlineStr">
        <is>
          <t xml:space="preserve">3</t>
        </is>
      </c>
      <c r="B9" s="2" t="inlineStr">
        <is>
          <t xml:space="preserve">Most 'validation' is done by locking: ~150 boxes are auto-calculated and read-only, and ~35 boxes open or lock depending on taxpayer type, residency, PE, shipping, cash basis, Section VIII and Box 204.</t>
        </is>
      </c>
    </row>
    <row r="10">
      <c r="A10" s="8211" t="inlineStr">
        <is>
          <t xml:space="preserve">4</t>
        </is>
      </c>
      <c r="B10" s="2" t="inlineStr">
        <is>
          <t xml:space="preserve">Note 1</t>
        </is>
      </c>
    </row>
    <row r="11">
      <c r="A11" s="2" t="inlineStr">
        <is>
          <t xml:space="preserve">5</t>
        </is>
      </c>
      <c r="B11" s="2" t="inlineStr">
        <is>
          <t xml:space="preserve">Statements of capital allowance and balancing allowance/charge have NO row-level calculations: only the column totals are summed.</t>
        </is>
      </c>
    </row>
    <row r="12">
      <c r="A12" s="2" t="inlineStr">
        <is>
          <t xml:space="preserve">6</t>
        </is>
      </c>
      <c r="B12" s="2" t="inlineStr">
        <is>
          <t xml:space="preserve">14 defects, quirks or gaps found in the scripts. See the 'Defects' sheet. Most important: individual tax brackets break for accounting periods crossing a calendar year end, and Section VIII = Yes does not clear several boxes.</t>
        </is>
      </c>
    </row>
    <row r="13">
      <c r="A13" s="2" t="inlineStr">
        <is>
          <t xml:space="preserve">7</t>
        </is>
      </c>
      <c r="B13" s="2" t="inlineStr">
        <is>
          <t xml:space="preserve">Scripts only run in Adobe Acrobat/Reader. Other PDF viewers show a flat form with no calculations.</t>
        </is>
      </c>
    </row>
    <row r="14">
      <c r="A14" s="2"/>
      <c r="B14" s="2"/>
    </row>
    <row r="15">
      <c r="A15" s="3" t="inlineStr">
        <is>
          <t xml:space="preserve">Sheets</t>
        </is>
      </c>
      <c r="B15" s="2"/>
    </row>
    <row r="16">
      <c r="A16" s="2" t="inlineStr">
        <is>
          <t xml:space="preserve">Rule register</t>
        </is>
      </c>
      <c r="B16" s="2" t="inlineStr">
        <is>
          <t xml:space="preserve">One row per rule: page, section, box, XFA field, rule type, what the form does, printed instruction, whether the form enforces it, observation.</t>
        </is>
      </c>
    </row>
    <row r="17">
      <c r="A17" s="2" t="inlineStr">
        <is>
          <t xml:space="preserve">Conditional locks</t>
        </is>
      </c>
      <c r="B17" s="2" t="inlineStr">
        <is>
          <t xml:space="preserve">Which answer opens or locks which boxes.</t>
        </is>
      </c>
    </row>
    <row r="18">
      <c r="A18" s="2" t="inlineStr">
        <is>
          <t xml:space="preserve">Rates &amp; thresholds</t>
        </is>
      </c>
      <c r="B18" s="2" t="inlineStr">
        <is>
          <t xml:space="preserve">Every hard-coded number in the scripts.</t>
        </is>
      </c>
    </row>
    <row r="19">
      <c r="A19" s="2" t="inlineStr">
        <is>
          <t xml:space="preserve">Defects</t>
        </is>
      </c>
      <c r="B19" s="2" t="inlineStr">
        <is>
          <t xml:space="preserve">Script behaviour that differs from the printed form or is likely wrong.</t>
        </is>
      </c>
    </row>
    <row r="20">
      <c r="A20" s="2" t="inlineStr">
        <is>
          <t xml:space="preserve">Field inventory</t>
        </is>
      </c>
      <c r="B20" s="2" t="inlineStr">
        <is>
          <t xml:space="preserve">All 672 fields with their technical limits (type, comb cells, max characters, picture, read-only, calculated).</t>
        </is>
      </c>
    </row>
    <row r="21">
      <c r="A21" s="2" t="inlineStr">
        <is>
          <t xml:space="preserve">Portal checks</t>
        </is>
      </c>
      <c r="B21" s="2" t="inlineStr">
        <is>
          <t xml:space="preserve">Checks MIRAconnect applies to the 604 return (server errors from 'Check and Calculate', browser checks, table-row rules), mapped to the PDF box and Rule register ID.</t>
        </is>
      </c>
    </row>
    <row r="22">
      <c r="A22" s="2"/>
      <c r="B22" s="2"/>
    </row>
    <row r="23">
      <c r="A23" s="2" t="inlineStr">
        <is>
          <t xml:space="preserve">Enforced? legend</t>
        </is>
      </c>
      <c r="B23" s="2" t="inlineStr">
        <is>
          <t xml:space="preserve">Yes = the form forces it (calculation, lock or error). Partly = format/limit only. No = printed instruction only, not checked.</t>
        </is>
      </c>
    </row>
    <row r="24">
      <c r="A24" s="2"/>
      <c r="B24" s="2"/>
    </row>
    <row r="25">
      <c r="A25" s="3" t="inlineStr">
        <is>
          <t xml:space="preserve">Portal vs PDF</t>
        </is>
      </c>
      <c r="B25" s="2"/>
    </row>
    <row r="26">
      <c r="A26" s="2" t="inlineStr">
        <is>
          <t xml:space="preserve">How found</t>
        </is>
      </c>
      <c r="B26" s="2" t="inlineStr">
        <is>
          <t xml:space="preserve">MIRAconnect 604 filing page for tax year 2025 (form shown as MIRA 604 Version 26.1), 20 Oct 2026. The page code was read, and 'Check and Calculate' was pressed once on an existing draft with no fields changed. Nothing was saved, submitted or paid. Taxpayer names, TINs and bank details are not recorded.</t>
        </is>
      </c>
    </row>
    <row r="27">
      <c r="A27" s="2" t="inlineStr">
        <is>
          <t xml:space="preserve">Mandatory only in portal (server)</t>
        </is>
      </c>
      <c r="B27" s="2" t="inlineStr">
        <is>
          <t xml:space="preserve">Check and Calculate refused the return with 10 errors: II-b functional currency, preceding year (a-d) and this year (e-h); III presentation currency; XIII at least one bank account; upload of directors report, audit report and financial statements; declaration contact number; Schedule 4 items 4.3(a) and 4.3(b) (a loan row or the no-loans tick). None of these is required in the PDF (R031).</t>
        </is>
      </c>
    </row>
    <row r="28">
      <c r="A28" s="2" t="inlineStr">
        <is>
          <t xml:space="preserve">Mandatory only in portal (browser)</t>
        </is>
      </c>
      <c r="B28" s="2" t="inlineStr">
        <is>
          <t xml:space="preserve">Schedule 4 item 3A cannot be blank (enter 0). Submit stays disabled until the offence-warning box is ticked. Each table row (bank accounts, immovable property, financial interest, group companies, beneficial owners, donations, Schedule 4 and 6 tables) has required columns and cannot be saved half-filled; beneficial owners need ownership OR controlling interest.</t>
        </is>
      </c>
    </row>
    <row r="29">
      <c r="A29" s="2" t="inlineStr">
        <is>
          <t xml:space="preserve">Conflicts with the PDF</t>
        </is>
      </c>
      <c r="B29" s="2" t="inlineStr">
        <is>
          <t xml:space="preserve">Donation date: PDF is DDMMYYYY text with its own error and 30/50-character limits on donee/details; portal uses a date picker with no length limits. Group company TIN: PDF numeric 7 cells; portal free text, unchecked. Financial interest %: portal 0-100, PDF unchecked. Property investment: portal must be &gt; 0, PDF unchecked. Beneficial owners: PDF one row; portal many rows, all required. Schedules 4-6 and the sponsorship statements exist in the portal but are not in the PDF.</t>
        </is>
      </c>
    </row>
    <row r="30">
      <c r="A30" s="2" t="inlineStr">
        <is>
          <t xml:space="preserve">Not tested</t>
        </is>
      </c>
      <c r="B30" s="2" t="inlineStr">
        <is>
          <t xml:space="preserve">Server rules this return already passes only show when broken, so they are not listed: e.g. declaration name/designation, accounting period, audit opinion, box caps and Schedule 1 links, residency and taxpayer-type conditions. Also untested: what triggers the bank-account and upload requirements (e.g. individuals, 'Not required to audit'), server-side errors when saving table rows, the s.11(r) confirmation, and the Submit step itself (not pressed).</t>
        </is>
      </c>
    </row>
    <row r="31">
      <c r="A31" s="2"/>
      <c r="B31" s="2"/>
    </row>
    <row r="32">
      <c r="A32" s="3" t="inlineStr">
        <is>
          <t xml:space="preserve">Portal test script</t>
        </is>
      </c>
      <c r="B32" s="2"/>
    </row>
    <row r="33">
      <c r="A33" s="2" t="inlineStr">
        <is>
          <t xml:space="preserve">Purpose</t>
        </is>
      </c>
      <c r="B33" s="2" t="inlineStr">
        <is>
          <t xml:space="preserve">Step-by-step Check and Calculate tests (sheet 'Portal test script', T00-T37) to find the server rules that only appear when broken. Ordered High &gt; Medium &gt; Low by how likely each is to block a filing.</t>
        </is>
      </c>
    </row>
    <row r="34">
      <c r="A34" s="2" t="inlineStr">
        <is>
          <t xml:space="preserve">How to run</t>
        </is>
      </c>
      <c r="B34" s="2" t="inlineStr">
        <is>
          <t xml:space="preserve">Run T00-T02 first. Change ONE thing per test, press Check and Calculate only (never Save as Draft or Submit), copy the exact message into 'Actual message', pick an Outcome, then restore the value before the next test. Rows added to tables save immediately, so delete test rows afterwards.</t>
        </is>
      </c>
    </row>
    <row r="35">
      <c r="A35" s="2" t="inlineStr">
        <is>
          <t xml:space="preserve">After testing</t>
        </is>
      </c>
      <c r="B35" s="2" t="inlineStr">
        <is>
          <t xml:space="preserve">Send the filled sheet back; confirmed rules will be moved into 'Portal checks' with How found = Tested.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9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7" customWidth="1" min="1" max="1"/>
    <col width="6" customWidth="1" min="2" max="2"/>
    <col width="26" customWidth="1" min="3" max="3"/>
    <col width="18" customWidth="1" min="4" max="4"/>
    <col width="28" customWidth="1" min="5" max="5"/>
    <col width="20" customWidth="1" min="6" max="6"/>
    <col width="60" customWidth="1" min="7" max="7"/>
    <col width="40" customWidth="1" min="8" max="8"/>
    <col width="10" customWidth="1" min="9" max="9"/>
    <col width="60" customWidth="1" min="10" max="10"/>
  </cols>
  <sheetData>
    <row r="1">
      <c r="A1" s="4" t="inlineStr">
        <is>
          <t>ID</t>
        </is>
      </c>
      <c r="B1" s="4" t="inlineStr">
        <is>
          <t>Page</t>
        </is>
      </c>
      <c r="C1" s="4" t="inlineStr">
        <is>
          <t>Section</t>
        </is>
      </c>
      <c r="D1" s="4" t="inlineStr">
        <is>
          <t>Box / item</t>
        </is>
      </c>
      <c r="E1" s="4" t="inlineStr">
        <is>
          <t>XFA field</t>
        </is>
      </c>
      <c r="F1" s="4" t="inlineStr">
        <is>
          <t>Rule type</t>
        </is>
      </c>
      <c r="G1" s="4" t="inlineStr">
        <is>
          <t>What the form does</t>
        </is>
      </c>
      <c r="H1" s="4" t="inlineStr">
        <is>
          <t>Printed instruction</t>
        </is>
      </c>
      <c r="I1" s="4" t="inlineStr">
        <is>
          <t>Enforced?</t>
        </is>
      </c>
      <c r="J1" s="4" t="inlineStr">
        <is>
          <t>Observation</t>
        </is>
      </c>
    </row>
    <row r="2">
      <c r="A2" s="2" t="inlineStr">
        <is>
          <t>R001</t>
        </is>
      </c>
      <c r="B2" s="2" t="n">
        <v>1</v>
      </c>
      <c r="C2" s="2" t="inlineStr">
        <is>
          <t>Header</t>
        </is>
      </c>
      <c r="D2" s="2" t="inlineStr">
        <is>
          <t>TIN</t>
        </is>
      </c>
      <c r="E2" s="2" t="inlineStr">
        <is>
          <t>Page1.Tin</t>
        </is>
      </c>
      <c r="F2" s="2" t="inlineStr">
        <is>
          <t>Input format</t>
        </is>
      </c>
      <c r="G2" s="2" t="inlineStr">
        <is>
          <t>Numeric only, 7 comb cells, whole number (no decimals).</t>
        </is>
      </c>
      <c r="H2" s="2" t="inlineStr">
        <is>
          <t>TIN as on Notification of Registration</t>
        </is>
      </c>
      <c r="I2" s="2" t="inlineStr">
        <is>
          <t>Partly</t>
        </is>
      </c>
      <c r="J2" s="2" t="inlineStr">
        <is>
          <t>No check digit or registry lookup; any 7 digits accepted.</t>
        </is>
      </c>
    </row>
    <row r="3">
      <c r="A3" s="2" t="inlineStr">
        <is>
          <t>R002</t>
        </is>
      </c>
      <c r="B3" s="2" t="n">
        <v>1</v>
      </c>
      <c r="C3" s="2" t="inlineStr">
        <is>
          <t>Header</t>
        </is>
      </c>
      <c r="D3" s="2" t="inlineStr">
        <is>
          <t>Taxpayer Name</t>
        </is>
      </c>
      <c r="E3" s="2" t="inlineStr">
        <is>
          <t>Page1.TextField2</t>
        </is>
      </c>
      <c r="F3" s="2" t="inlineStr">
        <is>
          <t>Input format</t>
        </is>
      </c>
      <c r="G3" s="2" t="inlineStr">
        <is>
          <t>Free text, no length limit set.</t>
        </is>
      </c>
      <c r="H3" s="2" t="inlineStr">
        <is>
          <t>Name as on Notification of Registration</t>
        </is>
      </c>
      <c r="I3" s="2" t="inlineStr">
        <is>
          <t>No</t>
        </is>
      </c>
      <c r="J3" s="2" t="inlineStr"/>
    </row>
    <row r="4">
      <c r="A4" s="2" t="inlineStr">
        <is>
          <t>R003</t>
        </is>
      </c>
      <c r="B4" s="2" t="n">
        <v>1</v>
      </c>
      <c r="C4" s="2" t="inlineStr">
        <is>
          <t>Header</t>
        </is>
      </c>
      <c r="D4" s="2" t="inlineStr">
        <is>
          <t>Taxpayer Type</t>
        </is>
      </c>
      <c r="E4" s="2" t="inlineStr">
        <is>
          <t>Page1.TpType</t>
        </is>
      </c>
      <c r="F4" s="2" t="inlineStr">
        <is>
          <t>Single choice</t>
        </is>
      </c>
      <c r="G4" s="2" t="inlineStr">
        <is>
          <t>Radio group: Individual (value 1) or Company/Partnership/Others (value 2). Only one can be chosen.</t>
        </is>
      </c>
      <c r="H4" s="2" t="inlineStr">
        <is>
          <t>Tick the applicable boxes</t>
        </is>
      </c>
      <c r="I4" s="2" t="inlineStr">
        <is>
          <t>Yes</t>
        </is>
      </c>
      <c r="J4" s="2" t="inlineStr">
        <is>
          <t>Printed text says 'boxes' (plural) but Individual and Company are mutually exclusive in the form.</t>
        </is>
      </c>
    </row>
    <row r="5">
      <c r="A5" s="2" t="inlineStr">
        <is>
          <t>R004</t>
        </is>
      </c>
      <c r="B5" s="2" t="n">
        <v>1</v>
      </c>
      <c r="C5" s="2" t="inlineStr">
        <is>
          <t>Header</t>
        </is>
      </c>
      <c r="D5" s="2" t="inlineStr">
        <is>
          <t>Taxpayer Type = Company</t>
        </is>
      </c>
      <c r="E5" s="2" t="inlineStr">
        <is>
          <t>Page1.TpType → Page1.AAA</t>
        </is>
      </c>
      <c r="F5" s="2" t="inlineStr">
        <is>
          <t>Conditional lock</t>
        </is>
      </c>
      <c r="G5" s="2" t="inlineStr">
        <is>
          <t>If Company/Partnership/Others: 'number of companies in group' box opens. Otherwise it is locked and set to 0.</t>
        </is>
      </c>
      <c r="H5" s="2" t="inlineStr">
        <is>
          <t>If you are a company within a group…</t>
        </is>
      </c>
      <c r="I5" s="2" t="inlineStr">
        <is>
          <t>Yes</t>
        </is>
      </c>
      <c r="J5" s="2" t="inlineStr"/>
    </row>
    <row r="6">
      <c r="A6" s="2" t="inlineStr">
        <is>
          <t>R005</t>
        </is>
      </c>
      <c r="B6" s="2" t="n">
        <v>1</v>
      </c>
      <c r="C6" s="2" t="inlineStr">
        <is>
          <t>Header</t>
        </is>
      </c>
      <c r="D6" s="2" t="inlineStr">
        <is>
          <t>Taxpayer Type = Individual</t>
        </is>
      </c>
      <c r="E6" s="2" t="inlineStr">
        <is>
          <t>Page1.TpType → F, Box 1, Box 131</t>
        </is>
      </c>
      <c r="F6" s="2" t="inlineStr">
        <is>
          <t>Conditional lock</t>
        </is>
      </c>
      <c r="G6" s="2" t="inlineStr">
        <is>
          <t>If Individual: Box F (EWT), Box 1 and Box 131 (Remuneration) open. Otherwise all three are locked and set to 0.</t>
        </is>
      </c>
      <c r="H6" s="2" t="inlineStr">
        <is>
          <t>Fill Boxes 1–10 if you are an individual</t>
        </is>
      </c>
      <c r="I6" s="2" t="inlineStr">
        <is>
          <t>Yes</t>
        </is>
      </c>
      <c r="J6" s="2" t="inlineStr">
        <is>
          <t>A company cannot enter remuneration income or EWT.</t>
        </is>
      </c>
    </row>
    <row r="7">
      <c r="A7" s="2" t="inlineStr">
        <is>
          <t>R006</t>
        </is>
      </c>
      <c r="B7" s="2" t="n">
        <v>1</v>
      </c>
      <c r="C7" s="2" t="inlineStr">
        <is>
          <t>Header</t>
        </is>
      </c>
      <c r="D7" s="2" t="inlineStr">
        <is>
          <t>Non-resident shipping/aircraft operator</t>
        </is>
      </c>
      <c r="E7" s="2" t="inlineStr">
        <is>
          <t>Page1.shipping → Boxes 205–210</t>
        </is>
      </c>
      <c r="F7" s="2" t="inlineStr">
        <is>
          <t>Conditional lock</t>
        </is>
      </c>
      <c r="G7" s="2" t="inlineStr">
        <is>
          <t>Tick opens Boxes 205–210 (Section 11(r) income). Untick locks them and resets to 0. Re-applied each time the form opens.</t>
        </is>
      </c>
      <c r="H7" s="2" t="inlineStr">
        <is>
          <t>Complete Part 3 if non-resident shipping/aircraft operator</t>
        </is>
      </c>
      <c r="I7" s="2" t="inlineStr">
        <is>
          <t>Yes</t>
        </is>
      </c>
      <c r="J7" s="2" t="inlineStr"/>
    </row>
    <row r="8">
      <c r="A8" s="2" t="inlineStr">
        <is>
          <t>R007</t>
        </is>
      </c>
      <c r="B8" s="2" t="n">
        <v>1</v>
      </c>
      <c r="C8" s="2" t="inlineStr">
        <is>
          <t>Header</t>
        </is>
      </c>
      <c r="D8" s="2" t="inlineStr">
        <is>
          <t>Permanent establishment</t>
        </is>
      </c>
      <c r="E8" s="2" t="inlineStr">
        <is>
          <t>Page1.PE → Boxes 64, 87, 94, 98</t>
        </is>
      </c>
      <c r="F8" s="2" t="inlineStr">
        <is>
          <t>Conditional lock</t>
        </is>
      </c>
      <c r="G8" s="2" t="inlineStr">
        <is>
          <t>Tick opens Boxes 64, 87, 94, 98 (head office expenses / NWT items). Untick locks them and resets to 0.</t>
        </is>
      </c>
      <c r="H8" s="2" t="inlineStr">
        <is>
          <t>Boxes 64/87/98 apply only to PE of a non-resident</t>
        </is>
      </c>
      <c r="I8" s="2" t="inlineStr">
        <is>
          <t>Yes</t>
        </is>
      </c>
      <c r="J8" s="2" t="inlineStr"/>
    </row>
    <row r="9">
      <c r="A9" s="2" t="inlineStr">
        <is>
          <t>R008</t>
        </is>
      </c>
      <c r="B9" s="2" t="n">
        <v>1</v>
      </c>
      <c r="C9" s="2" t="inlineStr">
        <is>
          <t>Header</t>
        </is>
      </c>
      <c r="D9" s="2" t="inlineStr">
        <is>
          <t>Group companies count</t>
        </is>
      </c>
      <c r="E9" s="2" t="inlineStr">
        <is>
          <t>Page1.AAA</t>
        </is>
      </c>
      <c r="F9" s="2" t="inlineStr">
        <is>
          <t>Input format</t>
        </is>
      </c>
      <c r="G9" s="2" t="inlineStr">
        <is>
          <t>Numeric. Used as 'A' in Note 4 tax-free bracket (MVR 500,000 ÷ (A+1)).</t>
        </is>
      </c>
      <c r="H9" s="2" t="inlineStr">
        <is>
          <t>Exclusive of you</t>
        </is>
      </c>
      <c r="I9" s="2" t="inlineStr">
        <is>
          <t>Partly</t>
        </is>
      </c>
      <c r="J9" s="2" t="inlineStr">
        <is>
          <t>No check that it matches the rows in Section X.</t>
        </is>
      </c>
    </row>
    <row r="10">
      <c r="A10" s="2" t="inlineStr">
        <is>
          <t>R009</t>
        </is>
      </c>
      <c r="B10" s="2" t="n">
        <v>1</v>
      </c>
      <c r="C10" s="2" t="inlineStr">
        <is>
          <t>Header</t>
        </is>
      </c>
      <c r="D10" s="2" t="inlineStr">
        <is>
          <t>Residency status</t>
        </is>
      </c>
      <c r="E10" s="2" t="inlineStr">
        <is>
          <t>Page1.AA1</t>
        </is>
      </c>
      <c r="F10" s="2" t="inlineStr">
        <is>
          <t>Single choice</t>
        </is>
      </c>
      <c r="G10" s="2" t="inlineStr">
        <is>
          <t>Radio group: Resident (1), Temporary resident (2), Non-resident (3).</t>
        </is>
      </c>
      <c r="H10" s="2" t="inlineStr">
        <is>
          <t>Tick the applicable box</t>
        </is>
      </c>
      <c r="I10" s="2" t="inlineStr">
        <is>
          <t>Yes</t>
        </is>
      </c>
      <c r="J10" s="2" t="inlineStr"/>
    </row>
    <row r="11">
      <c r="A11" s="2" t="inlineStr">
        <is>
          <t>R010</t>
        </is>
      </c>
      <c r="B11" s="2" t="n">
        <v>1</v>
      </c>
      <c r="C11" s="2" t="inlineStr">
        <is>
          <t>Header</t>
        </is>
      </c>
      <c r="D11" s="2" t="inlineStr">
        <is>
          <t>Residency = Non-resident</t>
        </is>
      </c>
      <c r="E11" s="2" t="inlineStr">
        <is>
          <t>Page1.AA1 → G, 88, 109</t>
        </is>
      </c>
      <c r="F11" s="2" t="inlineStr">
        <is>
          <t>Conditional lock</t>
        </is>
      </c>
      <c r="G11" s="2" t="inlineStr">
        <is>
          <t>Non-resident opens Box G (NWT deducted), Box 88 and Box 109 (Section 11(r) items). Otherwise locked and set to 0.</t>
        </is>
      </c>
      <c r="H11" s="2" t="inlineStr"/>
      <c r="I11" s="2" t="inlineStr">
        <is>
          <t>Yes</t>
        </is>
      </c>
      <c r="J11" s="2" t="inlineStr"/>
    </row>
    <row r="12">
      <c r="A12" s="2" t="inlineStr">
        <is>
          <t>R011</t>
        </is>
      </c>
      <c r="B12" s="2" t="n">
        <v>1</v>
      </c>
      <c r="C12" s="2" t="inlineStr">
        <is>
          <t>Header</t>
        </is>
      </c>
      <c r="D12" s="2" t="inlineStr">
        <is>
          <t>Residency = Resident</t>
        </is>
      </c>
      <c r="E12" s="2" t="inlineStr">
        <is>
          <t>Page1.AA1 → B, 110, 111</t>
        </is>
      </c>
      <c r="F12" s="2" t="inlineStr">
        <is>
          <t>Conditional lock</t>
        </is>
      </c>
      <c r="G12" s="2" t="inlineStr">
        <is>
          <t>Resident opens Box B (Foreign tax credit), Box 110 (resident-company dividends) and Box 111 (resident-partnership profits). Otherwise locked and set to 0.</t>
        </is>
      </c>
      <c r="H12" s="2" t="inlineStr">
        <is>
          <t>Box B: enter zero if non-resident</t>
        </is>
      </c>
      <c r="I12" s="2" t="inlineStr">
        <is>
          <t>Yes</t>
        </is>
      </c>
      <c r="J12" s="2" t="inlineStr">
        <is>
          <t>Temporary residents get neither set: Box B, G, 88, 109, 110, 111 all locked at 0.</t>
        </is>
      </c>
    </row>
    <row r="13">
      <c r="A13" s="2" t="inlineStr">
        <is>
          <t>R012</t>
        </is>
      </c>
      <c r="B13" s="2" t="n">
        <v>1</v>
      </c>
      <c r="C13" s="2" t="inlineStr">
        <is>
          <t>Header</t>
        </is>
      </c>
      <c r="D13" s="2" t="inlineStr">
        <is>
          <t>Accounting period From / To</t>
        </is>
      </c>
      <c r="E13" s="2" t="inlineStr">
        <is>
          <t>Page1.AccPeriodFrom / AccPeriodTo</t>
        </is>
      </c>
      <c r="F13" s="2" t="inlineStr">
        <is>
          <t>Input format</t>
        </is>
      </c>
      <c r="G13" s="2" t="inlineStr">
        <is>
          <t>Date fields, 8 comb cells DDMMYYYY.</t>
        </is>
      </c>
      <c r="H13" s="2" t="inlineStr">
        <is>
          <t>Per section 58 of the Regulation</t>
        </is>
      </c>
      <c r="I13" s="2" t="inlineStr">
        <is>
          <t>Partly</t>
        </is>
      </c>
      <c r="J13" s="2" t="inlineStr">
        <is>
          <t>No check that To is after From, or that period ≤ 12 months, or that it falls in the tax year. These dates drive the tax-bracket formulas (Box 188, A–D).</t>
        </is>
      </c>
    </row>
    <row r="14">
      <c r="A14" s="2" t="inlineStr">
        <is>
          <t>R013</t>
        </is>
      </c>
      <c r="B14" s="2" t="n">
        <v>1</v>
      </c>
      <c r="C14" s="2" t="inlineStr">
        <is>
          <t>Header</t>
        </is>
      </c>
      <c r="D14" s="2" t="inlineStr">
        <is>
          <t>Auditor Registration Number</t>
        </is>
      </c>
      <c r="E14" s="2" t="inlineStr">
        <is>
          <t>Page1.TextField15</t>
        </is>
      </c>
      <c r="F14" s="2" t="inlineStr">
        <is>
          <t>Input format</t>
        </is>
      </c>
      <c r="G14" s="2" t="inlineStr">
        <is>
          <t>Free text.</t>
        </is>
      </c>
      <c r="H14" s="2" t="inlineStr"/>
      <c r="I14" s="2" t="inlineStr">
        <is>
          <t>No</t>
        </is>
      </c>
      <c r="J14" s="2" t="inlineStr">
        <is>
          <t>No format or required check even if audit opinion ≠ 'Not required'.</t>
        </is>
      </c>
    </row>
    <row r="15">
      <c r="A15" s="2" t="inlineStr">
        <is>
          <t>R014</t>
        </is>
      </c>
      <c r="B15" s="2" t="n">
        <v>1</v>
      </c>
      <c r="C15" s="2" t="inlineStr">
        <is>
          <t>Header</t>
        </is>
      </c>
      <c r="D15" s="2" t="inlineStr">
        <is>
          <t>Industry Code</t>
        </is>
      </c>
      <c r="E15" s="2" t="inlineStr">
        <is>
          <t>Page1.TextField16</t>
        </is>
      </c>
      <c r="F15" s="2" t="inlineStr">
        <is>
          <t>Input format</t>
        </is>
      </c>
      <c r="G15" s="2" t="inlineStr">
        <is>
          <t>Free text.</t>
        </is>
      </c>
      <c r="H15" s="2" t="inlineStr">
        <is>
          <t>Refer to MIRA list of industry codes</t>
        </is>
      </c>
      <c r="I15" s="2" t="inlineStr">
        <is>
          <t>No</t>
        </is>
      </c>
      <c r="J15" s="2" t="inlineStr">
        <is>
          <t>Not checked against MIRA's industry code list.</t>
        </is>
      </c>
    </row>
    <row r="16">
      <c r="A16" s="2" t="inlineStr">
        <is>
          <t>R015</t>
        </is>
      </c>
      <c r="B16" s="2" t="n">
        <v>1</v>
      </c>
      <c r="C16" s="2" t="inlineStr">
        <is>
          <t>Computation</t>
        </is>
      </c>
      <c r="D16" s="2" t="inlineStr">
        <is>
          <t>A</t>
        </is>
      </c>
      <c r="E16" s="2" t="inlineStr">
        <is>
          <t>Page1.A</t>
        </is>
      </c>
      <c r="F16" s="2" t="inlineStr">
        <is>
          <t>Calculation (locked)</t>
        </is>
      </c>
      <c r="G16" s="2">
        <f> Box 191 if non-zero; = Box 203 if non-zero; if both are zero OR both non-zero → 0.</f>
        <v/>
      </c>
      <c r="H16" s="2" t="inlineStr">
        <is>
          <t>Transferred from Box 191 or 203</t>
        </is>
      </c>
      <c r="I16" s="2" t="inlineStr">
        <is>
          <t>Yes</t>
        </is>
      </c>
      <c r="J16" s="2" t="inlineStr">
        <is>
          <t>If both 191 and 203 have values, Box A silently becomes 0.</t>
        </is>
      </c>
    </row>
    <row r="17">
      <c r="A17" s="2" t="inlineStr">
        <is>
          <t>R016</t>
        </is>
      </c>
      <c r="B17" s="2" t="n">
        <v>1</v>
      </c>
      <c r="C17" s="2" t="inlineStr">
        <is>
          <t>Computation</t>
        </is>
      </c>
      <c r="D17" s="2" t="inlineStr">
        <is>
          <t>B</t>
        </is>
      </c>
      <c r="E17" s="2" t="inlineStr">
        <is>
          <t>Page1.B</t>
        </is>
      </c>
      <c r="F17" s="2" t="inlineStr">
        <is>
          <t>Input format</t>
        </is>
      </c>
      <c r="G17" s="2" t="inlineStr">
        <is>
          <t>Manual amount (2 dp). Open only for Residents.</t>
        </is>
      </c>
      <c r="H17" s="2" t="inlineStr">
        <is>
          <t>Enter zero if non-resident; attach explanations</t>
        </is>
      </c>
      <c r="I17" s="2" t="inlineStr">
        <is>
          <t>Yes</t>
        </is>
      </c>
      <c r="J17" s="2" t="inlineStr">
        <is>
          <t>No cap vs Box A.</t>
        </is>
      </c>
    </row>
    <row r="18">
      <c r="A18" s="2" t="inlineStr">
        <is>
          <t>R017</t>
        </is>
      </c>
      <c r="B18" s="2" t="n">
        <v>1</v>
      </c>
      <c r="C18" s="2" t="inlineStr">
        <is>
          <t>Computation</t>
        </is>
      </c>
      <c r="D18" s="2" t="inlineStr">
        <is>
          <t>C</t>
        </is>
      </c>
      <c r="E18" s="2" t="inlineStr">
        <is>
          <t>Page1.C</t>
        </is>
      </c>
      <c r="F18" s="2" t="inlineStr">
        <is>
          <t>Calculation (locked)</t>
        </is>
      </c>
      <c r="G18" s="2">
        <f> A − B</f>
        <v/>
      </c>
      <c r="H18" s="2" t="inlineStr">
        <is>
          <t>Box A minus Box B</t>
        </is>
      </c>
      <c r="I18" s="2" t="inlineStr">
        <is>
          <t>Yes</t>
        </is>
      </c>
      <c r="J18" s="2" t="inlineStr">
        <is>
          <t>Can go negative if B &gt; A (no floor).</t>
        </is>
      </c>
    </row>
    <row r="19">
      <c r="A19" s="2" t="inlineStr">
        <is>
          <t>R018</t>
        </is>
      </c>
      <c r="B19" s="2" t="n">
        <v>1</v>
      </c>
      <c r="C19" s="2" t="inlineStr">
        <is>
          <t>Computation</t>
        </is>
      </c>
      <c r="D19" s="2" t="inlineStr">
        <is>
          <t>D</t>
        </is>
      </c>
      <c r="E19" s="2" t="inlineStr">
        <is>
          <t>Page1.D</t>
        </is>
      </c>
      <c r="F19" s="2" t="inlineStr">
        <is>
          <t>Calculation (locked)</t>
        </is>
      </c>
      <c r="G19" s="2">
        <f> Box 215</f>
        <v/>
      </c>
      <c r="H19" s="2" t="inlineStr">
        <is>
          <t>Transferred from Box 215</t>
        </is>
      </c>
      <c r="I19" s="2" t="inlineStr">
        <is>
          <t>Yes</t>
        </is>
      </c>
      <c r="J19" s="2" t="inlineStr"/>
    </row>
    <row r="20">
      <c r="A20" s="2" t="inlineStr">
        <is>
          <t>R019</t>
        </is>
      </c>
      <c r="B20" s="2" t="n">
        <v>1</v>
      </c>
      <c r="C20" s="2" t="inlineStr">
        <is>
          <t>Computation</t>
        </is>
      </c>
      <c r="D20" s="2" t="inlineStr">
        <is>
          <t>E</t>
        </is>
      </c>
      <c r="E20" s="2" t="inlineStr">
        <is>
          <t>Page1.E</t>
        </is>
      </c>
      <c r="F20" s="2" t="inlineStr">
        <is>
          <t>Calculation (locked)</t>
        </is>
      </c>
      <c r="G20" s="2">
        <f> C + D</f>
        <v/>
      </c>
      <c r="H20" s="2" t="inlineStr">
        <is>
          <t>Sum of Boxes C and D</t>
        </is>
      </c>
      <c r="I20" s="2" t="inlineStr">
        <is>
          <t>Yes</t>
        </is>
      </c>
      <c r="J20" s="2" t="inlineStr"/>
    </row>
    <row r="21">
      <c r="A21" s="2" t="inlineStr">
        <is>
          <t>R020</t>
        </is>
      </c>
      <c r="B21" s="2" t="n">
        <v>1</v>
      </c>
      <c r="C21" s="2" t="inlineStr">
        <is>
          <t>Computation</t>
        </is>
      </c>
      <c r="D21" s="2" t="inlineStr">
        <is>
          <t>F</t>
        </is>
      </c>
      <c r="E21" s="2" t="inlineStr">
        <is>
          <t>Page1.F</t>
        </is>
      </c>
      <c r="F21" s="2" t="inlineStr">
        <is>
          <t>Input format</t>
        </is>
      </c>
      <c r="G21" s="2" t="inlineStr">
        <is>
          <t>Manual (2 dp). Open only for Individuals.</t>
        </is>
      </c>
      <c r="H21" s="2" t="inlineStr">
        <is>
          <t>EWT deducted by payer</t>
        </is>
      </c>
      <c r="I21" s="2" t="inlineStr">
        <is>
          <t>Yes</t>
        </is>
      </c>
      <c r="J21" s="2" t="inlineStr"/>
    </row>
    <row r="22">
      <c r="A22" s="2" t="inlineStr">
        <is>
          <t>R021</t>
        </is>
      </c>
      <c r="B22" s="2" t="n">
        <v>1</v>
      </c>
      <c r="C22" s="2" t="inlineStr">
        <is>
          <t>Computation</t>
        </is>
      </c>
      <c r="D22" s="2" t="inlineStr">
        <is>
          <t>G</t>
        </is>
      </c>
      <c r="E22" s="2" t="inlineStr">
        <is>
          <t>Page1.G</t>
        </is>
      </c>
      <c r="F22" s="2" t="inlineStr">
        <is>
          <t>Input format</t>
        </is>
      </c>
      <c r="G22" s="2" t="inlineStr">
        <is>
          <t>Manual (2 dp). Open only for Non-residents.</t>
        </is>
      </c>
      <c r="H22" s="2" t="inlineStr">
        <is>
          <t>NWT deducted by payer</t>
        </is>
      </c>
      <c r="I22" s="2" t="inlineStr">
        <is>
          <t>Yes</t>
        </is>
      </c>
      <c r="J22" s="2" t="inlineStr"/>
    </row>
    <row r="23">
      <c r="A23" s="2" t="inlineStr">
        <is>
          <t>R022</t>
        </is>
      </c>
      <c r="B23" s="2" t="n">
        <v>1</v>
      </c>
      <c r="C23" s="2" t="inlineStr">
        <is>
          <t>Computation</t>
        </is>
      </c>
      <c r="D23" s="2" t="inlineStr">
        <is>
          <t>H, I, J, K, L</t>
        </is>
      </c>
      <c r="E23" s="2" t="inlineStr">
        <is>
          <t>Page1.H–L</t>
        </is>
      </c>
      <c r="F23" s="2" t="inlineStr">
        <is>
          <t>Input format</t>
        </is>
      </c>
      <c r="G23" s="2" t="inlineStr">
        <is>
          <t>Manual (2 dp): CGWT, 1st/2nd interim, IT and BPT paid in excess.</t>
        </is>
      </c>
      <c r="H23" s="2" t="inlineStr"/>
      <c r="I23" s="2" t="inlineStr">
        <is>
          <t>Partly</t>
        </is>
      </c>
      <c r="J23" s="2" t="inlineStr">
        <is>
          <t>No cross-check to MIRA records.</t>
        </is>
      </c>
    </row>
    <row r="24">
      <c r="A24" s="2" t="inlineStr">
        <is>
          <t>R023</t>
        </is>
      </c>
      <c r="B24" s="2" t="n">
        <v>1</v>
      </c>
      <c r="C24" s="2" t="inlineStr">
        <is>
          <t>Computation</t>
        </is>
      </c>
      <c r="D24" s="2" t="inlineStr">
        <is>
          <t>M</t>
        </is>
      </c>
      <c r="E24" s="2" t="inlineStr">
        <is>
          <t>Page1.M</t>
        </is>
      </c>
      <c r="F24" s="2" t="inlineStr">
        <is>
          <t>Calculation (locked)</t>
        </is>
      </c>
      <c r="G24" s="2">
        <f> E − F − G − H − I − J − K − L</f>
        <v/>
      </c>
      <c r="H24" s="2" t="inlineStr">
        <is>
          <t>Box E minus Boxes F to L</t>
        </is>
      </c>
      <c r="I24" s="2" t="inlineStr">
        <is>
          <t>Yes</t>
        </is>
      </c>
      <c r="J24" s="2" t="inlineStr">
        <is>
          <t>Negative M (refund position) allowed.</t>
        </is>
      </c>
    </row>
    <row r="25">
      <c r="A25" s="2" t="inlineStr">
        <is>
          <t>R024</t>
        </is>
      </c>
      <c r="B25" s="2" t="n">
        <v>1</v>
      </c>
      <c r="C25" s="2" t="inlineStr">
        <is>
          <t>Computation</t>
        </is>
      </c>
      <c r="D25" s="2" t="inlineStr">
        <is>
          <t>N</t>
        </is>
      </c>
      <c r="E25" s="2" t="inlineStr">
        <is>
          <t>Page1.N</t>
        </is>
      </c>
      <c r="F25" s="2" t="inlineStr">
        <is>
          <t>Input format</t>
        </is>
      </c>
      <c r="G25" s="2" t="inlineStr">
        <is>
          <t>Manual (2 dp).</t>
        </is>
      </c>
      <c r="H25" s="2" t="inlineStr">
        <is>
          <t>Amount being paid</t>
        </is>
      </c>
      <c r="I25" s="2" t="inlineStr">
        <is>
          <t>No</t>
        </is>
      </c>
      <c r="J25" s="2" t="inlineStr">
        <is>
          <t>Not compared with Box M.</t>
        </is>
      </c>
    </row>
    <row r="26">
      <c r="A26" s="2" t="inlineStr">
        <is>
          <t>R025</t>
        </is>
      </c>
      <c r="B26" s="2" t="n">
        <v>1</v>
      </c>
      <c r="C26" s="2" t="inlineStr">
        <is>
          <t>Computation</t>
        </is>
      </c>
      <c r="D26" s="2" t="inlineStr">
        <is>
          <t>A–N colour</t>
        </is>
      </c>
      <c r="E26" s="2" t="inlineStr">
        <is>
          <t>Page1.A … N (validate script)</t>
        </is>
      </c>
      <c r="F26" s="2" t="inlineStr">
        <is>
          <t>Display only</t>
        </is>
      </c>
      <c r="G26" s="2" t="inlineStr">
        <is>
          <t>Each box's validate script colours a figure red if negative, green otherwise.</t>
        </is>
      </c>
      <c r="H26" s="2" t="inlineStr"/>
      <c r="I26" s="2" t="inlineStr">
        <is>
          <t>Partly</t>
        </is>
      </c>
      <c r="J26" s="2" t="inlineStr">
        <is>
          <t>Defect: every script tests Box J (not its own box), so only Box J's colour changes. Not a real validation.</t>
        </is>
      </c>
    </row>
    <row r="27">
      <c r="A27" s="2" t="inlineStr">
        <is>
          <t>R026</t>
        </is>
      </c>
      <c r="B27" s="2" t="n">
        <v>1</v>
      </c>
      <c r="C27" s="2" t="inlineStr">
        <is>
          <t>Declaration</t>
        </is>
      </c>
      <c r="D27" s="2" t="inlineStr">
        <is>
          <t>Name / Other names</t>
        </is>
      </c>
      <c r="E27" s="2" t="inlineStr">
        <is>
          <t>Page1.DName</t>
        </is>
      </c>
      <c r="F27" s="2" t="inlineStr">
        <is>
          <t>Input format</t>
        </is>
      </c>
      <c r="G27" s="2" t="inlineStr">
        <is>
          <t>Text, max 70 characters.</t>
        </is>
      </c>
      <c r="H27" s="2" t="inlineStr"/>
      <c r="I27" s="2" t="inlineStr">
        <is>
          <t>Partly</t>
        </is>
      </c>
      <c r="J27" s="2" t="inlineStr"/>
    </row>
    <row r="28">
      <c r="A28" s="2" t="inlineStr">
        <is>
          <t>R027</t>
        </is>
      </c>
      <c r="B28" s="2" t="n">
        <v>1</v>
      </c>
      <c r="C28" s="2" t="inlineStr">
        <is>
          <t>Declaration</t>
        </is>
      </c>
      <c r="D28" s="2" t="inlineStr">
        <is>
          <t>Designation</t>
        </is>
      </c>
      <c r="E28" s="2" t="inlineStr">
        <is>
          <t>Page1.DDesignation</t>
        </is>
      </c>
      <c r="F28" s="2" t="inlineStr">
        <is>
          <t>Input format</t>
        </is>
      </c>
      <c r="G28" s="2" t="inlineStr">
        <is>
          <t>Text, max 50 characters.</t>
        </is>
      </c>
      <c r="H28" s="2" t="inlineStr"/>
      <c r="I28" s="2" t="inlineStr">
        <is>
          <t>Partly</t>
        </is>
      </c>
      <c r="J28" s="2" t="inlineStr"/>
    </row>
    <row r="29">
      <c r="A29" s="2" t="inlineStr">
        <is>
          <t>R028</t>
        </is>
      </c>
      <c r="B29" s="2" t="n">
        <v>1</v>
      </c>
      <c r="C29" s="2" t="inlineStr">
        <is>
          <t>Declaration</t>
        </is>
      </c>
      <c r="D29" s="2" t="inlineStr">
        <is>
          <t>Contact Number</t>
        </is>
      </c>
      <c r="E29" s="2" t="inlineStr">
        <is>
          <t>Page1.DContact</t>
        </is>
      </c>
      <c r="F29" s="2" t="inlineStr">
        <is>
          <t>Input format</t>
        </is>
      </c>
      <c r="G29" s="2" t="inlineStr">
        <is>
          <t>Numeric whole number only.</t>
        </is>
      </c>
      <c r="H29" s="2" t="inlineStr"/>
      <c r="I29" s="2" t="inlineStr">
        <is>
          <t>Partly</t>
        </is>
      </c>
      <c r="J29" s="2" t="inlineStr">
        <is>
          <t>Leading zeros / '+960' cannot be typed.</t>
        </is>
      </c>
    </row>
    <row r="30">
      <c r="A30" s="2" t="inlineStr">
        <is>
          <t>R029</t>
        </is>
      </c>
      <c r="B30" s="2" t="n">
        <v>1</v>
      </c>
      <c r="C30" s="2" t="inlineStr">
        <is>
          <t>Declaration</t>
        </is>
      </c>
      <c r="D30" s="2" t="inlineStr">
        <is>
          <t>Date</t>
        </is>
      </c>
      <c r="E30" s="2" t="inlineStr">
        <is>
          <t>Page1.DDate</t>
        </is>
      </c>
      <c r="F30" s="2" t="inlineStr">
        <is>
          <t>Input format</t>
        </is>
      </c>
      <c r="G30" s="2" t="inlineStr">
        <is>
          <t>Date, 8 comb cells DDMMYYYY.</t>
        </is>
      </c>
      <c r="H30" s="2" t="inlineStr"/>
      <c r="I30" s="2" t="inlineStr">
        <is>
          <t>Partly</t>
        </is>
      </c>
      <c r="J30" s="2" t="inlineStr"/>
    </row>
    <row r="31">
      <c r="A31" s="2" t="inlineStr">
        <is>
          <t>R030</t>
        </is>
      </c>
      <c r="B31" s="2" t="n">
        <v>1</v>
      </c>
      <c r="C31" s="2" t="inlineStr">
        <is>
          <t>Whole form</t>
        </is>
      </c>
      <c r="D31" s="2" t="inlineStr">
        <is>
          <t>Reset Form</t>
        </is>
      </c>
      <c r="E31" s="2" t="inlineStr">
        <is>
          <t>Page1.ResetButton1</t>
        </is>
      </c>
      <c r="F31" s="2" t="inlineStr">
        <is>
          <t>Action</t>
        </is>
      </c>
      <c r="G31" s="2" t="inlineStr">
        <is>
          <t>Clears all data in the form.</t>
        </is>
      </c>
      <c r="H31" s="2" t="inlineStr"/>
      <c r="I31" s="2" t="inlineStr">
        <is>
          <t>Yes</t>
        </is>
      </c>
      <c r="J31" s="2" t="inlineStr">
        <is>
          <t>No confirmation prompt in script.</t>
        </is>
      </c>
    </row>
    <row r="32">
      <c r="A32" s="2" t="inlineStr">
        <is>
          <t>R031</t>
        </is>
      </c>
      <c r="B32" s="2" t="n">
        <v>1</v>
      </c>
      <c r="C32" s="2" t="inlineStr">
        <is>
          <t>Whole form</t>
        </is>
      </c>
      <c r="D32" s="2" t="inlineStr">
        <is>
          <t>Required fields</t>
        </is>
      </c>
      <c r="E32" s="2" t="inlineStr">
        <is>
          <t>(none)</t>
        </is>
      </c>
      <c r="F32" s="2" t="inlineStr">
        <is>
          <t>Missing check</t>
        </is>
      </c>
      <c r="G32" s="2" t="inlineStr">
        <is>
          <t>No field has a 'required' (null) test. The form can be completed and saved with any box empty.</t>
        </is>
      </c>
      <c r="H32" s="2" t="inlineStr"/>
      <c r="I32" s="2" t="inlineStr">
        <is>
          <t>No</t>
        </is>
      </c>
      <c r="J32" s="2" t="inlineStr">
        <is>
          <t>Completeness is only checked when you submit on MIRAconnect.</t>
        </is>
      </c>
    </row>
    <row r="33">
      <c r="A33" s="2" t="inlineStr">
        <is>
          <t>R032</t>
        </is>
      </c>
      <c r="B33" s="2" t="n">
        <v>2</v>
      </c>
      <c r="C33" s="2" t="inlineStr">
        <is>
          <t>Document checklist</t>
        </is>
      </c>
      <c r="D33" s="2" t="inlineStr">
        <is>
          <t>10 tick boxes</t>
        </is>
      </c>
      <c r="E33" s="2" t="inlineStr">
        <is>
          <t>Page2.CheckBox1/2</t>
        </is>
      </c>
      <c r="F33" s="2" t="inlineStr">
        <is>
          <t>Input format</t>
        </is>
      </c>
      <c r="G33" s="2" t="inlineStr">
        <is>
          <t>Independent checkboxes (on/off).</t>
        </is>
      </c>
      <c r="H33" s="2" t="inlineStr">
        <is>
          <t>Tick documents presented</t>
        </is>
      </c>
      <c r="I33" s="2" t="inlineStr">
        <is>
          <t>No</t>
        </is>
      </c>
      <c r="J33" s="2" t="inlineStr">
        <is>
          <t>No link to audit opinion or Box B (e.g. Box B &gt; 0 does not require the 'Explanations for Box B' tick).</t>
        </is>
      </c>
    </row>
    <row r="34">
      <c r="A34" s="2" t="inlineStr">
        <is>
          <t>R033</t>
        </is>
      </c>
      <c r="B34" s="2" t="n">
        <v>2</v>
      </c>
      <c r="C34" s="2" t="inlineStr">
        <is>
          <t>I Basis of accounts</t>
        </is>
      </c>
      <c r="D34" s="2" t="inlineStr">
        <is>
          <t>Accrual / Cash</t>
        </is>
      </c>
      <c r="E34" s="2" t="inlineStr">
        <is>
          <t>Page2.BI</t>
        </is>
      </c>
      <c r="F34" s="2" t="inlineStr">
        <is>
          <t>Single choice</t>
        </is>
      </c>
      <c r="G34" s="2" t="inlineStr">
        <is>
          <t>Radio: Accrual (1) / Cash (2).</t>
        </is>
      </c>
      <c r="H34" s="2" t="inlineStr">
        <is>
          <t>Basis opted under s13(b)/(c)</t>
        </is>
      </c>
      <c r="I34" s="2" t="inlineStr">
        <is>
          <t>Yes</t>
        </is>
      </c>
      <c r="J34" s="2" t="inlineStr"/>
    </row>
    <row r="35">
      <c r="A35" s="2" t="inlineStr">
        <is>
          <t>R034</t>
        </is>
      </c>
      <c r="B35" s="2" t="n">
        <v>2</v>
      </c>
      <c r="C35" s="2" t="inlineStr">
        <is>
          <t>I Basis of accounts</t>
        </is>
      </c>
      <c r="D35" s="2" t="inlineStr">
        <is>
          <t>Cash basis → rental election</t>
        </is>
      </c>
      <c r="E35" s="2" t="inlineStr">
        <is>
          <t>Page2.BI → Boxes 14, 58, 60</t>
        </is>
      </c>
      <c r="F35" s="2" t="inlineStr">
        <is>
          <t>Conditional lock</t>
        </is>
      </c>
      <c r="G35" s="2" t="inlineStr">
        <is>
          <t>Cash basis opens Box 14 (Section A rental) and Boxes 58 &amp; 60 (Section B rental election). Accrual locks them and sets to 0.</t>
        </is>
      </c>
      <c r="H35" s="2" t="inlineStr">
        <is>
          <t>Rental election under s28 only if accounts on cash basis</t>
        </is>
      </c>
      <c r="I35" s="2" t="inlineStr">
        <is>
          <t>Yes</t>
        </is>
      </c>
      <c r="J35" s="2" t="inlineStr">
        <is>
          <t>Enforces the s28 rule.</t>
        </is>
      </c>
    </row>
    <row r="36">
      <c r="A36" s="2" t="inlineStr">
        <is>
          <t>R035</t>
        </is>
      </c>
      <c r="B36" s="2" t="n">
        <v>2</v>
      </c>
      <c r="C36" s="2" t="inlineStr">
        <is>
          <t>II-a Functional currency (first year)</t>
        </is>
      </c>
      <c r="D36" s="2" t="inlineStr">
        <is>
          <t>Options a–d</t>
        </is>
      </c>
      <c r="E36" s="2" t="inlineStr">
        <is>
          <t>Page2.FCII-1</t>
        </is>
      </c>
      <c r="F36" s="2" t="inlineStr">
        <is>
          <t>Single choice + conditional lock</t>
        </is>
      </c>
      <c r="G36" s="2" t="inlineStr">
        <is>
          <t>Radio a–d. Option (a) opens MVR/USD/Other ticks + 'Other' text; (b) opens MVR/USD for (b); (d) opens MVR/USD for (d). Others locked.</t>
        </is>
      </c>
      <c r="H36" s="2" t="inlineStr">
        <is>
          <t>Complete only for first tax year</t>
        </is>
      </c>
      <c r="I36" s="2" t="inlineStr">
        <is>
          <t>Yes</t>
        </is>
      </c>
      <c r="J36" s="2" t="inlineStr">
        <is>
          <t>Only the II-a block has this lock logic.</t>
        </is>
      </c>
    </row>
    <row r="37">
      <c r="A37" s="2" t="inlineStr">
        <is>
          <t>R036</t>
        </is>
      </c>
      <c r="B37" s="2" t="n">
        <v>2</v>
      </c>
      <c r="C37" s="2" t="inlineStr">
        <is>
          <t>II-a / II-b</t>
        </is>
      </c>
      <c r="D37" s="2" t="inlineStr">
        <is>
          <t>'Other (please specify)' text</t>
        </is>
      </c>
      <c r="E37" s="2" t="inlineStr">
        <is>
          <t>FCII-*-othercurrency</t>
        </is>
      </c>
      <c r="F37" s="2" t="inlineStr">
        <is>
          <t>Input format</t>
        </is>
      </c>
      <c r="G37" s="2" t="inlineStr">
        <is>
          <t>Text, max 50 characters.</t>
        </is>
      </c>
      <c r="H37" s="2" t="inlineStr"/>
      <c r="I37" s="2" t="inlineStr">
        <is>
          <t>Partly</t>
        </is>
      </c>
      <c r="J37" s="2" t="inlineStr"/>
    </row>
    <row r="38">
      <c r="A38" s="2" t="inlineStr">
        <is>
          <t>R037</t>
        </is>
      </c>
      <c r="B38" s="2" t="n">
        <v>2</v>
      </c>
      <c r="C38" s="2" t="inlineStr">
        <is>
          <t>II-b Functional currency (other years)</t>
        </is>
      </c>
      <c r="D38" s="2" t="inlineStr">
        <is>
          <t>Options a–d and e–h</t>
        </is>
      </c>
      <c r="E38" s="2" t="inlineStr">
        <is>
          <t>Page2.FCII-2 / FCII-3</t>
        </is>
      </c>
      <c r="F38" s="2" t="inlineStr">
        <is>
          <t>Single choice</t>
        </is>
      </c>
      <c r="G38" s="2" t="inlineStr">
        <is>
          <t>Radio groups for prior year and current year. Currency ticks have no lock logic.</t>
        </is>
      </c>
      <c r="H38" s="2" t="inlineStr"/>
      <c r="I38" s="2" t="inlineStr">
        <is>
          <t>Partly</t>
        </is>
      </c>
      <c r="J38" s="2" t="inlineStr">
        <is>
          <t>Not locked: you can tick II-a and II-b together, or a currency under an option you did not pick.</t>
        </is>
      </c>
    </row>
    <row r="39">
      <c r="A39" s="2" t="inlineStr">
        <is>
          <t>R038</t>
        </is>
      </c>
      <c r="B39" s="2" t="n">
        <v>2</v>
      </c>
      <c r="C39" s="2" t="inlineStr">
        <is>
          <t>II Result</t>
        </is>
      </c>
      <c r="D39" s="2" t="inlineStr">
        <is>
          <t>Functional currency for this year</t>
        </is>
      </c>
      <c r="E39" s="2" t="inlineStr">
        <is>
          <t>Page2.functionalcurrency-currentyear</t>
        </is>
      </c>
      <c r="F39" s="2" t="inlineStr">
        <is>
          <t>Single choice</t>
        </is>
      </c>
      <c r="G39" s="2" t="inlineStr">
        <is>
          <t>Radio: MVR (1) / USD (2) / Other (3).</t>
        </is>
      </c>
      <c r="H39" s="2" t="inlineStr"/>
      <c r="I39" s="2" t="inlineStr">
        <is>
          <t>Partly</t>
        </is>
      </c>
      <c r="J39" s="2" t="inlineStr">
        <is>
          <t>Not derived from II-a/II-b answers.</t>
        </is>
      </c>
    </row>
    <row r="40">
      <c r="A40" s="2" t="inlineStr">
        <is>
          <t>R039</t>
        </is>
      </c>
      <c r="B40" s="2" t="n">
        <v>2</v>
      </c>
      <c r="C40" s="2" t="inlineStr">
        <is>
          <t>III Presentation currency</t>
        </is>
      </c>
      <c r="D40" s="2" t="inlineStr">
        <is>
          <t>Rufiyaa / USD</t>
        </is>
      </c>
      <c r="E40" s="2" t="inlineStr">
        <is>
          <t>Page2.BIII2</t>
        </is>
      </c>
      <c r="F40" s="2" t="inlineStr">
        <is>
          <t>Single choice + calc driver</t>
        </is>
      </c>
      <c r="G40" s="2" t="inlineStr">
        <is>
          <t>Radio MVR (1) / USD (2). Decides whether brackets use MVR or USD (Box 188 and A–D).</t>
        </is>
      </c>
      <c r="H40" s="2" t="inlineStr">
        <is>
          <t>If functional currency ≠ MVR, must present in USD</t>
        </is>
      </c>
      <c r="I40" s="2" t="inlineStr">
        <is>
          <t>Partly</t>
        </is>
      </c>
      <c r="J40" s="2" t="inlineStr">
        <is>
          <t>Defect: script meant to auto-set it from functional currency uses '==' (compare) not '=' (assign), so nothing happens. You must tick it yourself, and if left blank, companies get the USD bracket (Box 188 treats anything but '1' as USD) while individuals get MVR brackets (A–D treat anything but '2' as MVR).</t>
        </is>
      </c>
    </row>
    <row r="41">
      <c r="A41" s="2" t="inlineStr">
        <is>
          <t>R040</t>
        </is>
      </c>
      <c r="B41" s="2" t="n">
        <v>2</v>
      </c>
      <c r="C41" s="2" t="inlineStr">
        <is>
          <t>IV Audit opinion</t>
        </is>
      </c>
      <c r="D41" s="2" t="inlineStr">
        <is>
          <t>a–e</t>
        </is>
      </c>
      <c r="E41" s="2" t="inlineStr">
        <is>
          <t>Page2.BIV</t>
        </is>
      </c>
      <c r="F41" s="2" t="inlineStr">
        <is>
          <t>Single choice</t>
        </is>
      </c>
      <c r="G41" s="2" t="inlineStr">
        <is>
          <t>Radio: Unqualified/Qualified/Disclaimer/Adverse/Not required.</t>
        </is>
      </c>
      <c r="H41" s="2" t="inlineStr"/>
      <c r="I41" s="2" t="inlineStr">
        <is>
          <t>Partly</t>
        </is>
      </c>
      <c r="J41" s="2" t="inlineStr"/>
    </row>
    <row r="42">
      <c r="A42" s="2" t="inlineStr">
        <is>
          <t>R041</t>
        </is>
      </c>
      <c r="B42" s="2" t="n">
        <v>3</v>
      </c>
      <c r="C42" s="2" t="inlineStr">
        <is>
          <t>V Record keeping</t>
        </is>
      </c>
      <c r="D42" s="2" t="inlineStr">
        <is>
          <t>a–c</t>
        </is>
      </c>
      <c r="E42" s="2" t="inlineStr">
        <is>
          <t>Page3.BV</t>
        </is>
      </c>
      <c r="F42" s="2" t="inlineStr">
        <is>
          <t>Single choice</t>
        </is>
      </c>
      <c r="G42" s="2" t="inlineStr">
        <is>
          <t>Radio: Computerized/Semi/Manual.</t>
        </is>
      </c>
      <c r="H42" s="2" t="inlineStr"/>
      <c r="I42" s="2" t="inlineStr">
        <is>
          <t>Partly</t>
        </is>
      </c>
      <c r="J42" s="2" t="inlineStr"/>
    </row>
    <row r="43">
      <c r="A43" s="2" t="inlineStr">
        <is>
          <t>R042</t>
        </is>
      </c>
      <c r="B43" s="2" t="n">
        <v>3</v>
      </c>
      <c r="C43" s="2" t="inlineStr">
        <is>
          <t>V</t>
        </is>
      </c>
      <c r="D43" s="2" t="inlineStr">
        <is>
          <t>No business income / no business activity</t>
        </is>
      </c>
      <c r="E43" s="2" t="inlineStr">
        <is>
          <t>Page3.recordkeepCheckBox1/2</t>
        </is>
      </c>
      <c r="F43" s="2" t="inlineStr">
        <is>
          <t>Input format</t>
        </is>
      </c>
      <c r="G43" s="2" t="inlineStr">
        <is>
          <t>Two independent checkboxes.</t>
        </is>
      </c>
      <c r="H43" s="2" t="inlineStr"/>
      <c r="I43" s="2" t="inlineStr">
        <is>
          <t>No</t>
        </is>
      </c>
      <c r="J43" s="2" t="inlineStr">
        <is>
          <t>Ticking them does not lock Section B business boxes.</t>
        </is>
      </c>
    </row>
    <row r="44">
      <c r="A44" s="2" t="inlineStr">
        <is>
          <t>R043</t>
        </is>
      </c>
      <c r="B44" s="2" t="n">
        <v>3</v>
      </c>
      <c r="C44" s="2" t="inlineStr">
        <is>
          <t>VI Employees</t>
        </is>
      </c>
      <c r="D44" s="2" t="inlineStr">
        <is>
          <t>Maldivians / Expatriates</t>
        </is>
      </c>
      <c r="E44" s="2" t="inlineStr">
        <is>
          <t>Page3.B65A / B65B</t>
        </is>
      </c>
      <c r="F44" s="2" t="inlineStr">
        <is>
          <t>Input format</t>
        </is>
      </c>
      <c r="G44" s="2" t="inlineStr">
        <is>
          <t>Numeric, 6 comb cells each.</t>
        </is>
      </c>
      <c r="H44" s="2" t="inlineStr"/>
      <c r="I44" s="2" t="inlineStr">
        <is>
          <t>Partly</t>
        </is>
      </c>
      <c r="J44" s="2" t="inlineStr"/>
    </row>
    <row r="45">
      <c r="A45" s="2" t="inlineStr">
        <is>
          <t>R044</t>
        </is>
      </c>
      <c r="B45" s="2" t="n">
        <v>3</v>
      </c>
      <c r="C45" s="2" t="inlineStr">
        <is>
          <t>VII Thin capitalization</t>
        </is>
      </c>
      <c r="D45" s="2" t="inlineStr">
        <is>
          <t>a–d</t>
        </is>
      </c>
      <c r="E45" s="2" t="inlineStr">
        <is>
          <t>Page3.ThinCap1–4</t>
        </is>
      </c>
      <c r="F45" s="2" t="inlineStr">
        <is>
          <t>Exemption switch</t>
        </is>
      </c>
      <c r="G45" s="2" t="inlineStr">
        <is>
          <t>Four checkboxes. If ANY is ticked → Box 117, 122 and 128 forced to 0 (thin-cap rule switched off).</t>
        </is>
      </c>
      <c r="H45" s="2" t="inlineStr">
        <is>
          <t>This does not apply if you are exempt</t>
        </is>
      </c>
      <c r="I45" s="2" t="inlineStr">
        <is>
          <t>Yes</t>
        </is>
      </c>
      <c r="J45" s="2" t="inlineStr">
        <is>
          <t>Checkboxes, not a radio: several can be ticked.</t>
        </is>
      </c>
    </row>
    <row r="46">
      <c r="A46" s="2" t="inlineStr">
        <is>
          <t>R045</t>
        </is>
      </c>
      <c r="B46" s="2" t="n">
        <v>3</v>
      </c>
      <c r="C46" s="2" t="inlineStr">
        <is>
          <t>VIII Section 11(r) only?</t>
        </is>
      </c>
      <c r="D46" s="2" t="inlineStr">
        <is>
          <t>Yes / No</t>
        </is>
      </c>
      <c r="E46" s="2" t="inlineStr">
        <is>
          <t>Page3.S11r</t>
        </is>
      </c>
      <c r="F46" s="2" t="inlineStr">
        <is>
          <t>Single choice + conditional lock</t>
        </is>
      </c>
      <c r="G46" s="2" t="inlineStr">
        <is>
          <t>Yes (1) / No (2). 'No' opens Box 154 (Zakat). 'Yes' locks Box 154 at 0 and is meant to zero Boxes 57, 86, 92, 93, 155, S5.</t>
        </is>
      </c>
      <c r="H46" s="2" t="inlineStr">
        <is>
          <t>If Yes: skip Sections A &amp; B, go to Box 204, no Schedule 1</t>
        </is>
      </c>
      <c r="I46" s="2" t="inlineStr">
        <is>
          <t>Partly</t>
        </is>
      </c>
      <c r="J46" s="2" t="inlineStr">
        <is>
          <t>Defect: for 86, 92, 93, 155 and S5 the script sets access = '0' instead of value = 0, so those boxes are neither cleared nor recalculated when 'Yes'. Box 57 is zeroed correctly.</t>
        </is>
      </c>
    </row>
    <row r="47">
      <c r="A47" s="2" t="inlineStr">
        <is>
          <t>R046</t>
        </is>
      </c>
      <c r="B47" s="2" t="n">
        <v>3</v>
      </c>
      <c r="C47" s="2" t="inlineStr">
        <is>
          <t>IX Special return s48</t>
        </is>
      </c>
      <c r="D47" s="2" t="inlineStr">
        <is>
          <t>Yes / No</t>
        </is>
      </c>
      <c r="E47" s="2" t="inlineStr">
        <is>
          <t>Page3.VIX</t>
        </is>
      </c>
      <c r="F47" s="2" t="inlineStr">
        <is>
          <t>Single choice</t>
        </is>
      </c>
      <c r="G47" s="2" t="inlineStr">
        <is>
          <t>Radio Yes/No.</t>
        </is>
      </c>
      <c r="H47" s="2" t="inlineStr"/>
      <c r="I47" s="2" t="inlineStr">
        <is>
          <t>No</t>
        </is>
      </c>
      <c r="J47" s="2" t="inlineStr">
        <is>
          <t>No downstream effect in the form.</t>
        </is>
      </c>
    </row>
    <row r="48">
      <c r="A48" s="2" t="inlineStr">
        <is>
          <t>R047</t>
        </is>
      </c>
      <c r="B48" s="2" t="n">
        <v>3</v>
      </c>
      <c r="C48" s="2" t="inlineStr">
        <is>
          <t>X Group companies</t>
        </is>
      </c>
      <c r="D48" s="2" t="inlineStr">
        <is>
          <t>Name/TIN/Country/Shares bracket</t>
        </is>
      </c>
      <c r="E48" s="2" t="inlineStr">
        <is>
          <t>Page3.TextField1, NumericField14, CheckBoxX</t>
        </is>
      </c>
      <c r="F48" s="2" t="inlineStr">
        <is>
          <t>Input format</t>
        </is>
      </c>
      <c r="G48" s="2" t="inlineStr">
        <is>
          <t>One row. TIN numeric 7 cells; tick for 'shares tax free bracket'.</t>
        </is>
      </c>
      <c r="H48" s="2" t="inlineStr">
        <is>
          <t>Use additional sheets if necessary</t>
        </is>
      </c>
      <c r="I48" s="2" t="inlineStr">
        <is>
          <t>No</t>
        </is>
      </c>
      <c r="J48" s="2" t="inlineStr">
        <is>
          <t>Row count not compared with header 'number of companies'. Bracket-sharing tick does not affect Box 188.</t>
        </is>
      </c>
    </row>
    <row r="49">
      <c r="A49" s="2" t="inlineStr">
        <is>
          <t>R048</t>
        </is>
      </c>
      <c r="B49" s="2" t="n">
        <v>3</v>
      </c>
      <c r="C49" s="2" t="inlineStr">
        <is>
          <t>XI Shares outside Maldives</t>
        </is>
      </c>
      <c r="D49" s="2" t="inlineStr">
        <is>
          <t>Name/Country/Investment/Currency/%</t>
        </is>
      </c>
      <c r="E49" s="2" t="inlineStr">
        <is>
          <t>Page3 row</t>
        </is>
      </c>
      <c r="F49" s="2" t="inlineStr">
        <is>
          <t>Input format</t>
        </is>
      </c>
      <c r="G49" s="2" t="inlineStr">
        <is>
          <t>One row; investment and % numeric.</t>
        </is>
      </c>
      <c r="H49" s="2" t="inlineStr">
        <is>
          <t>Entities &gt;5% voting rights</t>
        </is>
      </c>
      <c r="I49" s="2" t="inlineStr">
        <is>
          <t>No</t>
        </is>
      </c>
      <c r="J49" s="2" t="inlineStr"/>
    </row>
    <row r="50">
      <c r="A50" s="2" t="inlineStr">
        <is>
          <t>R049</t>
        </is>
      </c>
      <c r="B50" s="2" t="n">
        <v>3</v>
      </c>
      <c r="C50" s="2" t="inlineStr">
        <is>
          <t>XII Immovable property</t>
        </is>
      </c>
      <c r="D50" s="2" t="inlineStr">
        <is>
          <t>Name/Purpose/Country/Investment</t>
        </is>
      </c>
      <c r="E50" s="2" t="inlineStr">
        <is>
          <t>Page3 row</t>
        </is>
      </c>
      <c r="F50" s="2" t="inlineStr">
        <is>
          <t>Input format</t>
        </is>
      </c>
      <c r="G50" s="2" t="inlineStr">
        <is>
          <t>One row; free text and numeric.</t>
        </is>
      </c>
      <c r="H50" s="2" t="inlineStr"/>
      <c r="I50" s="2" t="inlineStr">
        <is>
          <t>No</t>
        </is>
      </c>
      <c r="J50" s="2" t="inlineStr"/>
    </row>
    <row r="51">
      <c r="A51" s="2" t="inlineStr">
        <is>
          <t>R050</t>
        </is>
      </c>
      <c r="B51" s="2" t="n">
        <v>3</v>
      </c>
      <c r="C51" s="2" t="inlineStr">
        <is>
          <t>XIII Bank accounts</t>
        </is>
      </c>
      <c r="D51" s="2" t="inlineStr">
        <is>
          <t>Account name/number/currency/bank</t>
        </is>
      </c>
      <c r="E51" s="2" t="inlineStr">
        <is>
          <t>Page3 row</t>
        </is>
      </c>
      <c r="F51" s="2" t="inlineStr">
        <is>
          <t>Input format</t>
        </is>
      </c>
      <c r="G51" s="2" t="inlineStr">
        <is>
          <t>One row; free text.</t>
        </is>
      </c>
      <c r="H51" s="2" t="inlineStr"/>
      <c r="I51" s="2" t="inlineStr">
        <is>
          <t>No</t>
        </is>
      </c>
      <c r="J51" s="2" t="inlineStr"/>
    </row>
    <row r="52">
      <c r="A52" s="2" t="inlineStr">
        <is>
          <t>R051</t>
        </is>
      </c>
      <c r="B52" s="2" t="n">
        <v>3</v>
      </c>
      <c r="C52" s="2" t="inlineStr">
        <is>
          <t>XIV Beneficial owners</t>
        </is>
      </c>
      <c r="D52" s="2" t="inlineStr">
        <is>
          <t>Name/DOB/Nationality/ID/Nature/Control</t>
        </is>
      </c>
      <c r="E52" s="2" t="inlineStr">
        <is>
          <t>Page3.XIV*</t>
        </is>
      </c>
      <c r="F52" s="2" t="inlineStr">
        <is>
          <t>Input format</t>
        </is>
      </c>
      <c r="G52" s="2" t="inlineStr">
        <is>
          <t>DOB = date 8 cells; 'Nature of ownership' = dropdown Direct / Indirect.</t>
        </is>
      </c>
      <c r="H52" s="2" t="inlineStr">
        <is>
          <t>Persons with ≥25% ownership or control</t>
        </is>
      </c>
      <c r="I52" s="2" t="inlineStr">
        <is>
          <t>Partly</t>
        </is>
      </c>
      <c r="J52" s="2" t="inlineStr">
        <is>
          <t>Only one BO row in the fillable form.</t>
        </is>
      </c>
    </row>
    <row r="53">
      <c r="A53" s="2" t="inlineStr">
        <is>
          <t>R052</t>
        </is>
      </c>
      <c r="B53" s="2" t="n">
        <v>4</v>
      </c>
      <c r="C53" s="2" t="inlineStr">
        <is>
          <t>Section A – Remuneration</t>
        </is>
      </c>
      <c r="D53" s="2" t="inlineStr">
        <is>
          <t>1</t>
        </is>
      </c>
      <c r="E53" s="2" t="inlineStr">
        <is>
          <t>Page4.A1</t>
        </is>
      </c>
      <c r="F53" s="2" t="inlineStr">
        <is>
          <t>Input format</t>
        </is>
      </c>
      <c r="G53" s="2" t="inlineStr">
        <is>
          <t>Manual (2 dp). Open only if Taxpayer Type = Individual.</t>
        </is>
      </c>
      <c r="H53" s="2" t="inlineStr"/>
      <c r="I53" s="2" t="inlineStr">
        <is>
          <t>Yes</t>
        </is>
      </c>
      <c r="J53" s="2" t="inlineStr"/>
    </row>
    <row r="54">
      <c r="A54" s="2" t="inlineStr">
        <is>
          <t>R053</t>
        </is>
      </c>
      <c r="B54" s="2" t="n">
        <v>4</v>
      </c>
      <c r="C54" s="2" t="inlineStr">
        <is>
          <t>Section A – Remuneration</t>
        </is>
      </c>
      <c r="D54" s="2" t="inlineStr">
        <is>
          <t>2–5</t>
        </is>
      </c>
      <c r="E54" s="2" t="inlineStr">
        <is>
          <t>Page4.A2–A5</t>
        </is>
      </c>
      <c r="F54" s="2" t="inlineStr">
        <is>
          <t>Input format</t>
        </is>
      </c>
      <c r="G54" s="2" t="inlineStr">
        <is>
          <t>Manual (2 dp).</t>
        </is>
      </c>
      <c r="H54" s="2" t="inlineStr">
        <is>
          <t>Box 5 applicable until 20 July 2021</t>
        </is>
      </c>
      <c r="I54" s="2" t="inlineStr">
        <is>
          <t>Partly</t>
        </is>
      </c>
      <c r="J54" s="2" t="inlineStr">
        <is>
          <t>Box 5 is not locked for later periods.</t>
        </is>
      </c>
    </row>
    <row r="55">
      <c r="A55" s="2" t="inlineStr">
        <is>
          <t>R054</t>
        </is>
      </c>
      <c r="B55" s="2" t="n">
        <v>4</v>
      </c>
      <c r="C55" s="2" t="inlineStr">
        <is>
          <t>Section A – Remuneration</t>
        </is>
      </c>
      <c r="D55" s="2" t="inlineStr">
        <is>
          <t>6</t>
        </is>
      </c>
      <c r="E55" s="2" t="inlineStr">
        <is>
          <t>Page4.A6</t>
        </is>
      </c>
      <c r="F55" s="2" t="inlineStr">
        <is>
          <t>Calculation (locked)</t>
        </is>
      </c>
      <c r="G55" s="2">
        <f> 2 + 3 + 4 + 5</f>
        <v/>
      </c>
      <c r="H55" s="2" t="inlineStr">
        <is>
          <t>Sum of Boxes 2 to 5</t>
        </is>
      </c>
      <c r="I55" s="2" t="inlineStr">
        <is>
          <t>Yes</t>
        </is>
      </c>
      <c r="J55" s="2" t="inlineStr"/>
    </row>
    <row r="56">
      <c r="A56" s="2" t="inlineStr">
        <is>
          <t>R055</t>
        </is>
      </c>
      <c r="B56" s="2" t="n">
        <v>4</v>
      </c>
      <c r="C56" s="2" t="inlineStr">
        <is>
          <t>Section A – Remuneration</t>
        </is>
      </c>
      <c r="D56" s="2" t="inlineStr">
        <is>
          <t>7</t>
        </is>
      </c>
      <c r="E56" s="2" t="inlineStr">
        <is>
          <t>Page4.A7</t>
        </is>
      </c>
      <c r="F56" s="2" t="inlineStr">
        <is>
          <t>Calculation (locked)</t>
        </is>
      </c>
      <c r="G56" s="2">
        <f> lower of Box 1 and Box 6</f>
        <v/>
      </c>
      <c r="H56" s="2" t="inlineStr">
        <is>
          <t>Lower of Box 1 and Box 6</t>
        </is>
      </c>
      <c r="I56" s="2" t="inlineStr">
        <is>
          <t>Yes</t>
        </is>
      </c>
      <c r="J56" s="2" t="inlineStr"/>
    </row>
    <row r="57">
      <c r="A57" s="2" t="inlineStr">
        <is>
          <t>R056</t>
        </is>
      </c>
      <c r="B57" s="2" t="n">
        <v>4</v>
      </c>
      <c r="C57" s="2" t="inlineStr">
        <is>
          <t>Section A – Remuneration</t>
        </is>
      </c>
      <c r="D57" s="2" t="inlineStr">
        <is>
          <t>8</t>
        </is>
      </c>
      <c r="E57" s="2" t="inlineStr">
        <is>
          <t>Page4.A8</t>
        </is>
      </c>
      <c r="F57" s="2" t="inlineStr">
        <is>
          <t>Calculation (locked)</t>
        </is>
      </c>
      <c r="G57" s="2">
        <f> 1 − 7</f>
        <v/>
      </c>
      <c r="H57" s="2" t="inlineStr">
        <is>
          <t>Box 1 minus Box 7</t>
        </is>
      </c>
      <c r="I57" s="2" t="inlineStr">
        <is>
          <t>Yes</t>
        </is>
      </c>
      <c r="J57" s="2" t="inlineStr"/>
    </row>
    <row r="58">
      <c r="A58" s="2" t="inlineStr">
        <is>
          <t>R057</t>
        </is>
      </c>
      <c r="B58" s="2" t="n">
        <v>4</v>
      </c>
      <c r="C58" s="2" t="inlineStr">
        <is>
          <t>Section A – Remuneration</t>
        </is>
      </c>
      <c r="D58" s="2" t="inlineStr">
        <is>
          <t>9</t>
        </is>
      </c>
      <c r="E58" s="2" t="inlineStr">
        <is>
          <t>Page4.A9</t>
        </is>
      </c>
      <c r="F58" s="2" t="inlineStr">
        <is>
          <t>Input format</t>
        </is>
      </c>
      <c r="G58" s="2" t="inlineStr">
        <is>
          <t>Manual (2 dp).</t>
        </is>
      </c>
      <c r="H58" s="2" t="inlineStr">
        <is>
          <t>s12 exempt amounts subject to EWT</t>
        </is>
      </c>
      <c r="I58" s="2" t="inlineStr">
        <is>
          <t>Partly</t>
        </is>
      </c>
      <c r="J58" s="2" t="inlineStr"/>
    </row>
    <row r="59">
      <c r="A59" s="2" t="inlineStr">
        <is>
          <t>R058</t>
        </is>
      </c>
      <c r="B59" s="2" t="n">
        <v>4</v>
      </c>
      <c r="C59" s="2" t="inlineStr">
        <is>
          <t>Section A – Remuneration</t>
        </is>
      </c>
      <c r="D59" s="2" t="inlineStr">
        <is>
          <t>10</t>
        </is>
      </c>
      <c r="E59" s="2" t="inlineStr">
        <is>
          <t>Page4.A10</t>
        </is>
      </c>
      <c r="F59" s="2" t="inlineStr">
        <is>
          <t>Calculation (locked)</t>
        </is>
      </c>
      <c r="G59" s="2">
        <f> 8 − 9, floor 0</f>
        <v/>
      </c>
      <c r="H59" s="2" t="inlineStr">
        <is>
          <t>If negative enter zero</t>
        </is>
      </c>
      <c r="I59" s="2" t="inlineStr">
        <is>
          <t>Yes</t>
        </is>
      </c>
      <c r="J59" s="2" t="inlineStr"/>
    </row>
    <row r="60">
      <c r="A60" s="2" t="inlineStr">
        <is>
          <t>R059</t>
        </is>
      </c>
      <c r="B60" s="2" t="n">
        <v>4</v>
      </c>
      <c r="C60" s="2" t="inlineStr">
        <is>
          <t>Section A – Gifts/other</t>
        </is>
      </c>
      <c r="D60" s="2" t="inlineStr">
        <is>
          <t>11, 12</t>
        </is>
      </c>
      <c r="E60" s="2" t="inlineStr">
        <is>
          <t>Page4.A11, A12</t>
        </is>
      </c>
      <c r="F60" s="2" t="inlineStr">
        <is>
          <t>Input format</t>
        </is>
      </c>
      <c r="G60" s="2" t="inlineStr">
        <is>
          <t>Manual (2 dp).</t>
        </is>
      </c>
      <c r="H60" s="2" t="inlineStr"/>
      <c r="I60" s="2" t="inlineStr">
        <is>
          <t>Partly</t>
        </is>
      </c>
      <c r="J60" s="2" t="inlineStr"/>
    </row>
    <row r="61">
      <c r="A61" s="2" t="inlineStr">
        <is>
          <t>R060</t>
        </is>
      </c>
      <c r="B61" s="2" t="n">
        <v>4</v>
      </c>
      <c r="C61" s="2" t="inlineStr">
        <is>
          <t>Section A – Gifts/other</t>
        </is>
      </c>
      <c r="D61" s="2" t="inlineStr">
        <is>
          <t>13</t>
        </is>
      </c>
      <c r="E61" s="2" t="inlineStr">
        <is>
          <t>Page4.A13</t>
        </is>
      </c>
      <c r="F61" s="2" t="inlineStr">
        <is>
          <t>Calculation (locked)</t>
        </is>
      </c>
      <c r="G61" s="2">
        <f> 11 + 12</f>
        <v/>
      </c>
      <c r="H61" s="2" t="inlineStr">
        <is>
          <t>Sum of Boxes 11 and 12</t>
        </is>
      </c>
      <c r="I61" s="2" t="inlineStr">
        <is>
          <t>Yes</t>
        </is>
      </c>
      <c r="J61" s="2" t="inlineStr"/>
    </row>
    <row r="62">
      <c r="A62" s="2" t="inlineStr">
        <is>
          <t>R061</t>
        </is>
      </c>
      <c r="B62" s="2" t="n">
        <v>4</v>
      </c>
      <c r="C62" s="2" t="inlineStr">
        <is>
          <t>Section A – Rental</t>
        </is>
      </c>
      <c r="D62" s="2" t="inlineStr">
        <is>
          <t>14</t>
        </is>
      </c>
      <c r="E62" s="2" t="inlineStr">
        <is>
          <t>Page4.A14</t>
        </is>
      </c>
      <c r="F62" s="2" t="inlineStr">
        <is>
          <t>Input format</t>
        </is>
      </c>
      <c r="G62" s="2" t="inlineStr">
        <is>
          <t>Manual. Open only if Basis = Cash.</t>
        </is>
      </c>
      <c r="H62" s="2" t="inlineStr">
        <is>
          <t>Election under s28 only on cash basis</t>
        </is>
      </c>
      <c r="I62" s="2" t="inlineStr">
        <is>
          <t>Yes</t>
        </is>
      </c>
      <c r="J62" s="2" t="inlineStr">
        <is>
          <t>No validation picture on this box (unlike its neighbours).</t>
        </is>
      </c>
    </row>
    <row r="63">
      <c r="A63" s="2" t="inlineStr">
        <is>
          <t>R062</t>
        </is>
      </c>
      <c r="B63" s="2" t="n">
        <v>4</v>
      </c>
      <c r="C63" s="2" t="inlineStr">
        <is>
          <t>Section A – Rental</t>
        </is>
      </c>
      <c r="D63" s="2" t="inlineStr">
        <is>
          <t>15</t>
        </is>
      </c>
      <c r="E63" s="2" t="inlineStr">
        <is>
          <t>Page4.A15</t>
        </is>
      </c>
      <c r="F63" s="2" t="inlineStr">
        <is>
          <t>Calculation (locked)</t>
        </is>
      </c>
      <c r="G63" s="2">
        <f> ROUND(14 × 0.20, 2)</f>
        <v/>
      </c>
      <c r="H63" s="2" t="inlineStr">
        <is>
          <t>Multiply Box 14 by 0.20</t>
        </is>
      </c>
      <c r="I63" s="2" t="inlineStr">
        <is>
          <t>Yes</t>
        </is>
      </c>
      <c r="J63" s="2" t="inlineStr"/>
    </row>
    <row r="64">
      <c r="A64" s="2" t="inlineStr">
        <is>
          <t>R063</t>
        </is>
      </c>
      <c r="B64" s="2" t="n">
        <v>4</v>
      </c>
      <c r="C64" s="2" t="inlineStr">
        <is>
          <t>Section A – Rental</t>
        </is>
      </c>
      <c r="D64" s="2" t="inlineStr">
        <is>
          <t>16</t>
        </is>
      </c>
      <c r="E64" s="2" t="inlineStr">
        <is>
          <t>Page4.A16</t>
        </is>
      </c>
      <c r="F64" s="2" t="inlineStr">
        <is>
          <t>Calculation (locked)</t>
        </is>
      </c>
      <c r="G64" s="2">
        <f> 14 − 15</f>
        <v/>
      </c>
      <c r="H64" s="2" t="inlineStr">
        <is>
          <t>Box 14 minus Box 15</t>
        </is>
      </c>
      <c r="I64" s="2" t="inlineStr">
        <is>
          <t>Yes</t>
        </is>
      </c>
      <c r="J64" s="2" t="inlineStr"/>
    </row>
    <row r="65">
      <c r="A65" s="2" t="inlineStr">
        <is>
          <t>R064</t>
        </is>
      </c>
      <c r="B65" s="2" t="n">
        <v>4</v>
      </c>
      <c r="C65" s="2" t="inlineStr">
        <is>
          <t>Section A – Capital gains</t>
        </is>
      </c>
      <c r="D65" s="2" t="inlineStr">
        <is>
          <t>17, 18, 21</t>
        </is>
      </c>
      <c r="E65" s="2" t="inlineStr">
        <is>
          <t>Page4.A17, A18, A21</t>
        </is>
      </c>
      <c r="F65" s="2" t="inlineStr">
        <is>
          <t>Input format</t>
        </is>
      </c>
      <c r="G65" s="2" t="inlineStr">
        <is>
          <t>Manual (2 dp).</t>
        </is>
      </c>
      <c r="H65" s="2" t="inlineStr"/>
      <c r="I65" s="2" t="inlineStr">
        <is>
          <t>Partly</t>
        </is>
      </c>
      <c r="J65" s="2" t="inlineStr"/>
    </row>
    <row r="66">
      <c r="A66" s="2" t="inlineStr">
        <is>
          <t>R065</t>
        </is>
      </c>
      <c r="B66" s="2" t="n">
        <v>4</v>
      </c>
      <c r="C66" s="2" t="inlineStr">
        <is>
          <t>Section A – Capital gains</t>
        </is>
      </c>
      <c r="D66" s="2" t="inlineStr">
        <is>
          <t>19</t>
        </is>
      </c>
      <c r="E66" s="2" t="inlineStr">
        <is>
          <t>Page4.A19</t>
        </is>
      </c>
      <c r="F66" s="2" t="inlineStr">
        <is>
          <t>Calculation (locked)</t>
        </is>
      </c>
      <c r="G66" s="2">
        <f> lower of 17 and 18</f>
        <v/>
      </c>
      <c r="H66" s="2" t="inlineStr">
        <is>
          <t>Lower of Boxes 17 and 18</t>
        </is>
      </c>
      <c r="I66" s="2" t="inlineStr">
        <is>
          <t>Yes</t>
        </is>
      </c>
      <c r="J66" s="2" t="inlineStr"/>
    </row>
    <row r="67">
      <c r="A67" s="2" t="inlineStr">
        <is>
          <t>R066</t>
        </is>
      </c>
      <c r="B67" s="2" t="n">
        <v>4</v>
      </c>
      <c r="C67" s="2" t="inlineStr">
        <is>
          <t>Section A – Capital gains</t>
        </is>
      </c>
      <c r="D67" s="2" t="inlineStr">
        <is>
          <t>20</t>
        </is>
      </c>
      <c r="E67" s="2" t="inlineStr">
        <is>
          <t>Page4.A20</t>
        </is>
      </c>
      <c r="F67" s="2" t="inlineStr">
        <is>
          <t>Calculation (locked)</t>
        </is>
      </c>
      <c r="G67" s="2">
        <f> 17 − 19</f>
        <v/>
      </c>
      <c r="H67" s="2" t="inlineStr">
        <is>
          <t>Box 17 minus Box 19</t>
        </is>
      </c>
      <c r="I67" s="2" t="inlineStr">
        <is>
          <t>Yes</t>
        </is>
      </c>
      <c r="J67" s="2" t="inlineStr"/>
    </row>
    <row r="68">
      <c r="A68" s="2" t="inlineStr">
        <is>
          <t>R067</t>
        </is>
      </c>
      <c r="B68" s="2" t="n">
        <v>4</v>
      </c>
      <c r="C68" s="2" t="inlineStr">
        <is>
          <t>Section A – Capital gains</t>
        </is>
      </c>
      <c r="D68" s="2" t="inlineStr">
        <is>
          <t>22</t>
        </is>
      </c>
      <c r="E68" s="2" t="inlineStr">
        <is>
          <t>Page4.A22</t>
        </is>
      </c>
      <c r="F68" s="2" t="inlineStr">
        <is>
          <t>Calculation (locked)</t>
        </is>
      </c>
      <c r="G68" s="2">
        <f> lower of 20 and 21</f>
        <v/>
      </c>
      <c r="H68" s="2" t="inlineStr">
        <is>
          <t>Lower of Boxes 20 and 21</t>
        </is>
      </c>
      <c r="I68" s="2" t="inlineStr">
        <is>
          <t>Yes</t>
        </is>
      </c>
      <c r="J68" s="2" t="inlineStr"/>
    </row>
    <row r="69">
      <c r="A69" s="2" t="inlineStr">
        <is>
          <t>R068</t>
        </is>
      </c>
      <c r="B69" s="2" t="n">
        <v>4</v>
      </c>
      <c r="C69" s="2" t="inlineStr">
        <is>
          <t>Section A – Capital gains</t>
        </is>
      </c>
      <c r="D69" s="2" t="inlineStr">
        <is>
          <t>23</t>
        </is>
      </c>
      <c r="E69" s="2" t="inlineStr">
        <is>
          <t>Page4.A23</t>
        </is>
      </c>
      <c r="F69" s="2" t="inlineStr">
        <is>
          <t>Calculation (locked)</t>
        </is>
      </c>
      <c r="G69" s="2">
        <f> 20 − 22</f>
        <v/>
      </c>
      <c r="H69" s="2" t="inlineStr">
        <is>
          <t>Box 20 minus Box 22</t>
        </is>
      </c>
      <c r="I69" s="2" t="inlineStr">
        <is>
          <t>Yes</t>
        </is>
      </c>
      <c r="J69" s="2" t="inlineStr"/>
    </row>
    <row r="70">
      <c r="A70" s="2" t="inlineStr">
        <is>
          <t>R069</t>
        </is>
      </c>
      <c r="B70" s="2" t="n">
        <v>4</v>
      </c>
      <c r="C70" s="2" t="inlineStr">
        <is>
          <t>Section A – Capital gains</t>
        </is>
      </c>
      <c r="D70" s="2" t="inlineStr">
        <is>
          <t>24</t>
        </is>
      </c>
      <c r="E70" s="2" t="inlineStr">
        <is>
          <t>Page4.A24</t>
        </is>
      </c>
      <c r="F70" s="2" t="inlineStr">
        <is>
          <t>Calculation (locked)</t>
        </is>
      </c>
      <c r="G70" s="2">
        <f> 19 − 18 if 19 &lt; 18, else 0</f>
        <v/>
      </c>
      <c r="H70" s="2" t="inlineStr">
        <is>
          <t>If 18 &gt; 19, subtract 18 from 19; otherwise zero</t>
        </is>
      </c>
      <c r="I70" s="2" t="inlineStr">
        <is>
          <t>Partly</t>
        </is>
      </c>
      <c r="J70" s="2" t="inlineStr">
        <is>
          <t>Script follows the printed words literally (19 − 18), so when losses exceed gains the carry-forward shows as a negative number. The intended figure is probably 18 − 19 (positive).</t>
        </is>
      </c>
    </row>
    <row r="71">
      <c r="A71" s="2" t="inlineStr">
        <is>
          <t>R070</t>
        </is>
      </c>
      <c r="B71" s="2" t="n">
        <v>4</v>
      </c>
      <c r="C71" s="2" t="inlineStr">
        <is>
          <t>Section A</t>
        </is>
      </c>
      <c r="D71" s="2" t="inlineStr">
        <is>
          <t>25</t>
        </is>
      </c>
      <c r="E71" s="2" t="inlineStr">
        <is>
          <t>Page4.A25</t>
        </is>
      </c>
      <c r="F71" s="2" t="inlineStr">
        <is>
          <t>Calculation (locked)</t>
        </is>
      </c>
      <c r="G71" s="2">
        <f> 10 + 13 + 16 + 23</f>
        <v/>
      </c>
      <c r="H71" s="2" t="inlineStr">
        <is>
          <t>Sum of Boxes 10, 13, 16 and 23</t>
        </is>
      </c>
      <c r="I71" s="2" t="inlineStr">
        <is>
          <t>Yes</t>
        </is>
      </c>
      <c r="J71" s="2" t="inlineStr"/>
    </row>
    <row r="72">
      <c r="A72" s="2" t="inlineStr">
        <is>
          <t>R071</t>
        </is>
      </c>
      <c r="B72" s="2" t="n">
        <v>6</v>
      </c>
      <c r="C72" s="2" t="inlineStr">
        <is>
          <t>Section A – Deductions</t>
        </is>
      </c>
      <c r="D72" s="2" t="inlineStr">
        <is>
          <t>26</t>
        </is>
      </c>
      <c r="E72" s="2" t="inlineStr">
        <is>
          <t>Page6.A26</t>
        </is>
      </c>
      <c r="F72" s="2" t="inlineStr">
        <is>
          <t>Input format</t>
        </is>
      </c>
      <c r="G72" s="2" t="inlineStr">
        <is>
          <t>Manual Zakat al-mal paid (2 dp).</t>
        </is>
      </c>
      <c r="H72" s="2" t="inlineStr"/>
      <c r="I72" s="2" t="inlineStr">
        <is>
          <t>Partly</t>
        </is>
      </c>
      <c r="J72" s="2" t="inlineStr"/>
    </row>
    <row r="73">
      <c r="A73" s="2" t="inlineStr">
        <is>
          <t>R072</t>
        </is>
      </c>
      <c r="B73" s="2" t="n">
        <v>6</v>
      </c>
      <c r="C73" s="2" t="inlineStr">
        <is>
          <t>Section A – Deductions</t>
        </is>
      </c>
      <c r="D73" s="2" t="inlineStr">
        <is>
          <t>27</t>
        </is>
      </c>
      <c r="E73" s="2" t="inlineStr">
        <is>
          <t>Page6.A27</t>
        </is>
      </c>
      <c r="F73" s="2" t="inlineStr">
        <is>
          <t>Calculation (locked)</t>
        </is>
      </c>
      <c r="G73" s="2">
        <f> Statement of Donations total (page 15)</f>
        <v/>
      </c>
      <c r="H73" s="2" t="inlineStr">
        <is>
          <t>Transferred from Statement of Donations</t>
        </is>
      </c>
      <c r="I73" s="2" t="inlineStr">
        <is>
          <t>Yes</t>
        </is>
      </c>
      <c r="J73" s="2" t="inlineStr"/>
    </row>
    <row r="74">
      <c r="A74" s="2" t="inlineStr">
        <is>
          <t>R073</t>
        </is>
      </c>
      <c r="B74" s="2" t="n">
        <v>6</v>
      </c>
      <c r="C74" s="2" t="inlineStr">
        <is>
          <t>Section A – Deductions</t>
        </is>
      </c>
      <c r="D74" s="2" t="inlineStr">
        <is>
          <t>28</t>
        </is>
      </c>
      <c r="E74" s="2" t="inlineStr">
        <is>
          <t>Page6.A28</t>
        </is>
      </c>
      <c r="F74" s="2" t="inlineStr">
        <is>
          <t>Calculation (locked)</t>
        </is>
      </c>
      <c r="G74" s="2">
        <f> 10 + 13</f>
        <v/>
      </c>
      <c r="H74" s="2" t="inlineStr">
        <is>
          <t>Sum of Boxes 10 and 13</t>
        </is>
      </c>
      <c r="I74" s="2" t="inlineStr">
        <is>
          <t>Yes</t>
        </is>
      </c>
      <c r="J74" s="2" t="inlineStr"/>
    </row>
    <row r="75">
      <c r="A75" s="2" t="inlineStr">
        <is>
          <t>R074</t>
        </is>
      </c>
      <c r="B75" s="2" t="n">
        <v>6</v>
      </c>
      <c r="C75" s="2" t="inlineStr">
        <is>
          <t>Section A – Deductions</t>
        </is>
      </c>
      <c r="D75" s="2" t="inlineStr">
        <is>
          <t>29</t>
        </is>
      </c>
      <c r="E75" s="2" t="inlineStr">
        <is>
          <t>Page6.A29</t>
        </is>
      </c>
      <c r="F75" s="2" t="inlineStr">
        <is>
          <t>Calculation (locked)</t>
        </is>
      </c>
      <c r="G75" s="2">
        <f> 23</f>
        <v/>
      </c>
      <c r="H75" s="2" t="inlineStr">
        <is>
          <t>Transferred from Box 23</t>
        </is>
      </c>
      <c r="I75" s="2" t="inlineStr">
        <is>
          <t>Yes</t>
        </is>
      </c>
      <c r="J75" s="2" t="inlineStr"/>
    </row>
    <row r="76">
      <c r="A76" s="2" t="inlineStr">
        <is>
          <t>R075</t>
        </is>
      </c>
      <c r="B76" s="2" t="n">
        <v>6</v>
      </c>
      <c r="C76" s="2" t="inlineStr">
        <is>
          <t>Section A – Deductions</t>
        </is>
      </c>
      <c r="D76" s="2" t="inlineStr">
        <is>
          <t>30</t>
        </is>
      </c>
      <c r="E76" s="2" t="inlineStr">
        <is>
          <t>Page6.A30</t>
        </is>
      </c>
      <c r="F76" s="2" t="inlineStr">
        <is>
          <t>Calculation (locked)</t>
        </is>
      </c>
      <c r="G76" s="2">
        <f> 16</f>
        <v/>
      </c>
      <c r="H76" s="2" t="inlineStr">
        <is>
          <t>Transferred from Box 16</t>
        </is>
      </c>
      <c r="I76" s="2" t="inlineStr">
        <is>
          <t>Yes</t>
        </is>
      </c>
      <c r="J76" s="2" t="inlineStr"/>
    </row>
    <row r="77">
      <c r="A77" s="2" t="inlineStr">
        <is>
          <t>R076</t>
        </is>
      </c>
      <c r="B77" s="2" t="n">
        <v>6</v>
      </c>
      <c r="C77" s="2" t="inlineStr">
        <is>
          <t>Section A – Zakat allocation (Note 1)</t>
        </is>
      </c>
      <c r="D77" s="2" t="inlineStr">
        <is>
          <t>31</t>
        </is>
      </c>
      <c r="E77" s="2" t="inlineStr">
        <is>
          <t>Page6.A31</t>
        </is>
      </c>
      <c r="F77" s="2" t="inlineStr">
        <is>
          <t>Allocation waterfall</t>
        </is>
      </c>
      <c r="G77" s="2">
        <f> lower of 26 and 28 (0 if either is 0).</f>
        <v/>
      </c>
      <c r="H77" s="2" t="inlineStr">
        <is>
          <t>≤ Box 26 and ≤ Box 28; exhaust Box 28 first</t>
        </is>
      </c>
      <c r="I77" s="2" t="inlineStr">
        <is>
          <t>Yes</t>
        </is>
      </c>
      <c r="J77" s="2" t="inlineStr">
        <is>
          <t>Enforces Note 1 automatically: you cannot enter it yourself.</t>
        </is>
      </c>
    </row>
    <row r="78">
      <c r="A78" s="2" t="inlineStr">
        <is>
          <t>R077</t>
        </is>
      </c>
      <c r="B78" s="2" t="n">
        <v>6</v>
      </c>
      <c r="C78" s="2" t="inlineStr">
        <is>
          <t>Section A – Zakat allocation (Note 1)</t>
        </is>
      </c>
      <c r="D78" s="2" t="inlineStr">
        <is>
          <t>32</t>
        </is>
      </c>
      <c r="E78" s="2" t="inlineStr">
        <is>
          <t>Page6.A32</t>
        </is>
      </c>
      <c r="F78" s="2" t="inlineStr">
        <is>
          <t>Allocation waterfall</t>
        </is>
      </c>
      <c r="G78" s="2">
        <f> lower of 29 and (26 − 31).</f>
        <v/>
      </c>
      <c r="H78" s="2" t="inlineStr">
        <is>
          <t>≤ Box 26 and ≤ Box 29; only after Box 28 exhausted</t>
        </is>
      </c>
      <c r="I78" s="2" t="inlineStr">
        <is>
          <t>Yes</t>
        </is>
      </c>
      <c r="J78" s="2" t="inlineStr"/>
    </row>
    <row r="79">
      <c r="A79" s="2" t="inlineStr">
        <is>
          <t>R078</t>
        </is>
      </c>
      <c r="B79" s="2" t="n">
        <v>6</v>
      </c>
      <c r="C79" s="2" t="inlineStr">
        <is>
          <t>Section A – Zakat allocation (Note 1)</t>
        </is>
      </c>
      <c r="D79" s="2" t="inlineStr">
        <is>
          <t>33</t>
        </is>
      </c>
      <c r="E79" s="2" t="inlineStr">
        <is>
          <t>Page6.A33</t>
        </is>
      </c>
      <c r="F79" s="2" t="inlineStr">
        <is>
          <t>Allocation waterfall</t>
        </is>
      </c>
      <c r="G79" s="2">
        <f> lower of 30 and remaining Zakat (26 − 31 − 32), with case logic for which of 28/29 are zero.</f>
        <v/>
      </c>
      <c r="H79" s="2" t="inlineStr">
        <is>
          <t>≤ Box 26 and ≤ Box 30; only after 28 and 29 exhausted</t>
        </is>
      </c>
      <c r="I79" s="2" t="inlineStr">
        <is>
          <t>Yes</t>
        </is>
      </c>
      <c r="J79" s="2" t="inlineStr"/>
    </row>
    <row r="80">
      <c r="A80" s="2" t="inlineStr">
        <is>
          <t>R079</t>
        </is>
      </c>
      <c r="B80" s="2" t="n">
        <v>6</v>
      </c>
      <c r="C80" s="2" t="inlineStr">
        <is>
          <t>Section A – Deductions</t>
        </is>
      </c>
      <c r="D80" s="2" t="inlineStr">
        <is>
          <t>34–36</t>
        </is>
      </c>
      <c r="E80" s="2" t="inlineStr">
        <is>
          <t>Page6.A34–A36</t>
        </is>
      </c>
      <c r="F80" s="2" t="inlineStr">
        <is>
          <t>Calculation (locked)</t>
        </is>
      </c>
      <c r="G80" s="2" t="inlineStr">
        <is>
          <t>34 = 28 − 31; 35 = 29 − 32; 36 = 30 − 33</t>
        </is>
      </c>
      <c r="H80" s="2" t="inlineStr"/>
      <c r="I80" s="2" t="inlineStr">
        <is>
          <t>Yes</t>
        </is>
      </c>
      <c r="J80" s="2" t="inlineStr"/>
    </row>
    <row r="81">
      <c r="A81" s="2" t="inlineStr">
        <is>
          <t>R080</t>
        </is>
      </c>
      <c r="B81" s="2" t="n">
        <v>6</v>
      </c>
      <c r="C81" s="2" t="inlineStr">
        <is>
          <t>Section A – Deductions</t>
        </is>
      </c>
      <c r="D81" s="2" t="inlineStr">
        <is>
          <t>37</t>
        </is>
      </c>
      <c r="E81" s="2" t="inlineStr">
        <is>
          <t>Page6.A37</t>
        </is>
      </c>
      <c r="F81" s="2" t="inlineStr">
        <is>
          <t>Calculation (locked)</t>
        </is>
      </c>
      <c r="G81" s="2">
        <f> 34 + 35 + 36</f>
        <v/>
      </c>
      <c r="H81" s="2" t="inlineStr">
        <is>
          <t>Sum of Boxes 34 to 36</t>
        </is>
      </c>
      <c r="I81" s="2" t="inlineStr">
        <is>
          <t>Yes</t>
        </is>
      </c>
      <c r="J81" s="2" t="inlineStr"/>
    </row>
    <row r="82">
      <c r="A82" s="2" t="inlineStr">
        <is>
          <t>R081</t>
        </is>
      </c>
      <c r="B82" s="2" t="n">
        <v>6</v>
      </c>
      <c r="C82" s="2" t="inlineStr">
        <is>
          <t>Section A – Sponsorship (Note 2)</t>
        </is>
      </c>
      <c r="D82" s="2" t="inlineStr">
        <is>
          <t>S1</t>
        </is>
      </c>
      <c r="E82" s="2" t="inlineStr">
        <is>
          <t>Page6.AS1</t>
        </is>
      </c>
      <c r="F82" s="2" t="inlineStr">
        <is>
          <t>Calculation (locked)</t>
        </is>
      </c>
      <c r="G82" s="2">
        <f> Total sponsorships paid (page 16)</f>
        <v/>
      </c>
      <c r="H82" s="2" t="inlineStr">
        <is>
          <t>Transferred from Statement of Sponsorships</t>
        </is>
      </c>
      <c r="I82" s="2" t="inlineStr">
        <is>
          <t>Yes</t>
        </is>
      </c>
      <c r="J82" s="2" t="inlineStr"/>
    </row>
    <row r="83">
      <c r="A83" s="2" t="inlineStr">
        <is>
          <t>R082</t>
        </is>
      </c>
      <c r="B83" s="2" t="n">
        <v>6</v>
      </c>
      <c r="C83" s="2" t="inlineStr">
        <is>
          <t>Section A – Sponsorship (Note 2)</t>
        </is>
      </c>
      <c r="D83" s="2" t="inlineStr">
        <is>
          <t>S2</t>
        </is>
      </c>
      <c r="E83" s="2" t="inlineStr">
        <is>
          <t>Page6.AS2</t>
        </is>
      </c>
      <c r="F83" s="2" t="inlineStr">
        <is>
          <t>Allocation waterfall</t>
        </is>
      </c>
      <c r="G83" s="2">
        <f> lower of S1 and 34.</f>
        <v/>
      </c>
      <c r="H83" s="2" t="inlineStr">
        <is>
          <t>≤ S1 and ≤ Box 34</t>
        </is>
      </c>
      <c r="I83" s="2" t="inlineStr">
        <is>
          <t>Yes</t>
        </is>
      </c>
      <c r="J83" s="2" t="inlineStr"/>
    </row>
    <row r="84">
      <c r="A84" s="2" t="inlineStr">
        <is>
          <t>R083</t>
        </is>
      </c>
      <c r="B84" s="2" t="n">
        <v>6</v>
      </c>
      <c r="C84" s="2" t="inlineStr">
        <is>
          <t>Section A – Sponsorship (Note 2)</t>
        </is>
      </c>
      <c r="D84" s="2" t="inlineStr">
        <is>
          <t>S3</t>
        </is>
      </c>
      <c r="E84" s="2" t="inlineStr">
        <is>
          <t>Page6.AS3</t>
        </is>
      </c>
      <c r="F84" s="2" t="inlineStr">
        <is>
          <t>Allocation waterfall</t>
        </is>
      </c>
      <c r="G84" s="2">
        <f> lower of 35 and (S1 − S2).</f>
        <v/>
      </c>
      <c r="H84" s="2" t="inlineStr">
        <is>
          <t>Only after Box 34 exhausted</t>
        </is>
      </c>
      <c r="I84" s="2" t="inlineStr">
        <is>
          <t>Yes</t>
        </is>
      </c>
      <c r="J84" s="2" t="inlineStr"/>
    </row>
    <row r="85">
      <c r="A85" s="2" t="inlineStr">
        <is>
          <t>R084</t>
        </is>
      </c>
      <c r="B85" s="2" t="n">
        <v>6</v>
      </c>
      <c r="C85" s="2" t="inlineStr">
        <is>
          <t>Section A – Sponsorship (Note 2)</t>
        </is>
      </c>
      <c r="D85" s="2" t="inlineStr">
        <is>
          <t>S4</t>
        </is>
      </c>
      <c r="E85" s="2" t="inlineStr">
        <is>
          <t>Page6.AS4</t>
        </is>
      </c>
      <c r="F85" s="2" t="inlineStr">
        <is>
          <t>Allocation waterfall</t>
        </is>
      </c>
      <c r="G85" s="2">
        <f> lower of 36 and remaining S1.</f>
        <v/>
      </c>
      <c r="H85" s="2" t="inlineStr">
        <is>
          <t>Only after 34 and 35 exhausted</t>
        </is>
      </c>
      <c r="I85" s="2" t="inlineStr">
        <is>
          <t>Yes</t>
        </is>
      </c>
      <c r="J85" s="2" t="inlineStr"/>
    </row>
    <row r="86">
      <c r="A86" s="2" t="inlineStr">
        <is>
          <t>R085</t>
        </is>
      </c>
      <c r="B86" s="2" t="n">
        <v>6</v>
      </c>
      <c r="C86" s="2" t="inlineStr">
        <is>
          <t>Section A – Deductions</t>
        </is>
      </c>
      <c r="D86" s="2" t="inlineStr">
        <is>
          <t>38–40</t>
        </is>
      </c>
      <c r="E86" s="2" t="inlineStr">
        <is>
          <t>Page6.A38–A40</t>
        </is>
      </c>
      <c r="F86" s="2" t="inlineStr">
        <is>
          <t>Calculation (locked)</t>
        </is>
      </c>
      <c r="G86" s="2" t="inlineStr">
        <is>
          <t>38 = 34 − S2; 39 = 35 − S3; 40 = 36 − S4</t>
        </is>
      </c>
      <c r="H86" s="2" t="inlineStr"/>
      <c r="I86" s="2" t="inlineStr">
        <is>
          <t>Yes</t>
        </is>
      </c>
      <c r="J86" s="2" t="inlineStr"/>
    </row>
    <row r="87">
      <c r="A87" s="2" t="inlineStr">
        <is>
          <t>R086</t>
        </is>
      </c>
      <c r="B87" s="2" t="n">
        <v>6</v>
      </c>
      <c r="C87" s="2" t="inlineStr">
        <is>
          <t>Section A – Deductions</t>
        </is>
      </c>
      <c r="D87" s="2" t="inlineStr">
        <is>
          <t>41</t>
        </is>
      </c>
      <c r="E87" s="2" t="inlineStr">
        <is>
          <t>Page6.A41</t>
        </is>
      </c>
      <c r="F87" s="2" t="inlineStr">
        <is>
          <t>Calculation (locked)</t>
        </is>
      </c>
      <c r="G87" s="2">
        <f> 38 + 39 + 40</f>
        <v/>
      </c>
      <c r="H87" s="2" t="inlineStr">
        <is>
          <t>Sum of Boxes 38 to 40</t>
        </is>
      </c>
      <c r="I87" s="2" t="inlineStr">
        <is>
          <t>Partly</t>
        </is>
      </c>
      <c r="J87" s="2" t="inlineStr">
        <is>
          <t>Box 46's exit script can cap Box 41 at Box 36, set it to 0, or unlock it for manual entry (when 34 = 39 and 35 = 40). It looks copied from another box and can override the printed formula.</t>
        </is>
      </c>
    </row>
    <row r="88">
      <c r="A88" s="2" t="inlineStr">
        <is>
          <t>R087</t>
        </is>
      </c>
      <c r="B88" s="2" t="n">
        <v>6</v>
      </c>
      <c r="C88" s="2" t="inlineStr">
        <is>
          <t>Section A – Donations (Note 3)</t>
        </is>
      </c>
      <c r="D88" s="2" t="inlineStr">
        <is>
          <t>42</t>
        </is>
      </c>
      <c r="E88" s="2" t="inlineStr">
        <is>
          <t>Page6.A42</t>
        </is>
      </c>
      <c r="F88" s="2" t="inlineStr">
        <is>
          <t>Calculation (locked)</t>
        </is>
      </c>
      <c r="G88" s="2">
        <f> ROUND(41 × 0.05, 2)</f>
        <v/>
      </c>
      <c r="H88" s="2" t="inlineStr">
        <is>
          <t>5% of taxable income before donations</t>
        </is>
      </c>
      <c r="I88" s="2" t="inlineStr">
        <is>
          <t>Yes</t>
        </is>
      </c>
      <c r="J88" s="2" t="inlineStr">
        <is>
          <t>5% cap on donations.</t>
        </is>
      </c>
    </row>
    <row r="89">
      <c r="A89" s="2" t="inlineStr">
        <is>
          <t>R088</t>
        </is>
      </c>
      <c r="B89" s="2" t="n">
        <v>6</v>
      </c>
      <c r="C89" s="2" t="inlineStr">
        <is>
          <t>Section A – Donations (Note 3)</t>
        </is>
      </c>
      <c r="D89" s="2" t="inlineStr">
        <is>
          <t>43</t>
        </is>
      </c>
      <c r="E89" s="2" t="inlineStr">
        <is>
          <t>Page6.A43</t>
        </is>
      </c>
      <c r="F89" s="2" t="inlineStr">
        <is>
          <t>Calculation (locked)</t>
        </is>
      </c>
      <c r="G89" s="2">
        <f> lower of 42 and 27</f>
        <v/>
      </c>
      <c r="H89" s="2" t="inlineStr">
        <is>
          <t>Lower of Boxes 42 and 27</t>
        </is>
      </c>
      <c r="I89" s="2" t="inlineStr">
        <is>
          <t>Yes</t>
        </is>
      </c>
      <c r="J89" s="2" t="inlineStr"/>
    </row>
    <row r="90">
      <c r="A90" s="2" t="inlineStr">
        <is>
          <t>R089</t>
        </is>
      </c>
      <c r="B90" s="2" t="n">
        <v>6</v>
      </c>
      <c r="C90" s="2" t="inlineStr">
        <is>
          <t>Section A – Donations (Note 3)</t>
        </is>
      </c>
      <c r="D90" s="2" t="inlineStr">
        <is>
          <t>44–46</t>
        </is>
      </c>
      <c r="E90" s="2" t="inlineStr">
        <is>
          <t>Page6.A44–A46</t>
        </is>
      </c>
      <c r="F90" s="2" t="inlineStr">
        <is>
          <t>Allocation waterfall</t>
        </is>
      </c>
      <c r="G90" s="2" t="inlineStr">
        <is>
          <t>44 = lower(43, 38); 45 = lower(43 − 44, 39); 46 = lower(43 − 44 − 45, 40)</t>
        </is>
      </c>
      <c r="H90" s="2" t="inlineStr">
        <is>
          <t>≤ Box 43 and ≤ Boxes 38/39/40 in order</t>
        </is>
      </c>
      <c r="I90" s="2" t="inlineStr">
        <is>
          <t>Yes</t>
        </is>
      </c>
      <c r="J90" s="2" t="inlineStr"/>
    </row>
    <row r="91">
      <c r="A91" s="2" t="inlineStr">
        <is>
          <t>R090</t>
        </is>
      </c>
      <c r="B91" s="2" t="n">
        <v>6</v>
      </c>
      <c r="C91" s="2" t="inlineStr">
        <is>
          <t>Section A – Deductions</t>
        </is>
      </c>
      <c r="D91" s="2" t="inlineStr">
        <is>
          <t>47–50</t>
        </is>
      </c>
      <c r="E91" s="2" t="inlineStr">
        <is>
          <t>Page6.A47–A50</t>
        </is>
      </c>
      <c r="F91" s="2" t="inlineStr">
        <is>
          <t>Calculation (locked)</t>
        </is>
      </c>
      <c r="G91" s="2" t="inlineStr">
        <is>
          <t>47 = 38 − 44; 48 = 39 − 45; 49 = 40 − 46; 50 = 47 + 48 + 49</t>
        </is>
      </c>
      <c r="H91" s="2" t="inlineStr"/>
      <c r="I91" s="2" t="inlineStr">
        <is>
          <t>Yes</t>
        </is>
      </c>
      <c r="J91" s="2" t="inlineStr"/>
    </row>
    <row r="92">
      <c r="A92" s="2" t="inlineStr">
        <is>
          <t>R091</t>
        </is>
      </c>
      <c r="B92" s="2" t="n">
        <v>6</v>
      </c>
      <c r="C92" s="2" t="inlineStr">
        <is>
          <t>Section A – Loss relief</t>
        </is>
      </c>
      <c r="D92" s="2" t="inlineStr">
        <is>
          <t>51</t>
        </is>
      </c>
      <c r="E92" s="2" t="inlineStr">
        <is>
          <t>Page6.A51</t>
        </is>
      </c>
      <c r="F92" s="2" t="inlineStr">
        <is>
          <t>Input format</t>
        </is>
      </c>
      <c r="G92" s="2" t="inlineStr">
        <is>
          <t>Manual business loss brought forward (2 dp).</t>
        </is>
      </c>
      <c r="H92" s="2" t="inlineStr"/>
      <c r="I92" s="2" t="inlineStr">
        <is>
          <t>Partly</t>
        </is>
      </c>
      <c r="J92" s="2" t="inlineStr">
        <is>
          <t>Not checked against the prior-year return.</t>
        </is>
      </c>
    </row>
    <row r="93">
      <c r="A93" s="2" t="inlineStr">
        <is>
          <t>R092</t>
        </is>
      </c>
      <c r="B93" s="2" t="n">
        <v>6</v>
      </c>
      <c r="C93" s="2" t="inlineStr">
        <is>
          <t>Section A – Loss relief</t>
        </is>
      </c>
      <c r="D93" s="2" t="inlineStr">
        <is>
          <t>52</t>
        </is>
      </c>
      <c r="E93" s="2" t="inlineStr">
        <is>
          <t>Page6.A52</t>
        </is>
      </c>
      <c r="F93" s="2" t="inlineStr">
        <is>
          <t>Calculation (locked)</t>
        </is>
      </c>
      <c r="G93" s="2">
        <f> lower of 49 and 51; 0 if Box 49 ≤ 0</f>
        <v/>
      </c>
      <c r="H93" s="2" t="inlineStr">
        <is>
          <t>Lower of Boxes 49 and 51</t>
        </is>
      </c>
      <c r="I93" s="2" t="inlineStr">
        <is>
          <t>Yes</t>
        </is>
      </c>
      <c r="J93" s="2" t="inlineStr">
        <is>
          <t>Loss relief limited to rental income column.</t>
        </is>
      </c>
    </row>
    <row r="94">
      <c r="A94" s="2" t="inlineStr">
        <is>
          <t>R093</t>
        </is>
      </c>
      <c r="B94" s="2" t="n">
        <v>6</v>
      </c>
      <c r="C94" s="2" t="inlineStr">
        <is>
          <t>Section A – Taxable income</t>
        </is>
      </c>
      <c r="D94" s="2" t="inlineStr">
        <is>
          <t>53–56</t>
        </is>
      </c>
      <c r="E94" s="2" t="inlineStr">
        <is>
          <t>Page6.A53–A56</t>
        </is>
      </c>
      <c r="F94" s="2" t="inlineStr">
        <is>
          <t>Calculation (locked)</t>
        </is>
      </c>
      <c r="G94" s="2" t="inlineStr">
        <is>
          <t>53 = 47; 54 = 48; 55 = 49 − 52; 56 = 53 + 54 + 55</t>
        </is>
      </c>
      <c r="H94" s="2" t="inlineStr"/>
      <c r="I94" s="2" t="inlineStr">
        <is>
          <t>Yes</t>
        </is>
      </c>
      <c r="J94" s="2" t="inlineStr">
        <is>
          <t>Box 56 → Box 187 (company) or 192 (individual).</t>
        </is>
      </c>
    </row>
    <row r="95">
      <c r="A95" s="2" t="inlineStr">
        <is>
          <t>R094</t>
        </is>
      </c>
      <c r="B95" s="2" t="n">
        <v>7</v>
      </c>
      <c r="C95" s="2" t="inlineStr">
        <is>
          <t>Section B</t>
        </is>
      </c>
      <c r="D95" s="2" t="inlineStr">
        <is>
          <t>57</t>
        </is>
      </c>
      <c r="E95" s="2" t="inlineStr">
        <is>
          <t>Page7.B57</t>
        </is>
      </c>
      <c r="F95" s="2" t="inlineStr">
        <is>
          <t>Calculation (locked)</t>
        </is>
      </c>
      <c r="G95" s="2">
        <f> Schedule 1 Box 19, except 0 when Section VIII = Yes (11(r)-only). Schedule 1 Box 19's own script also sets Box 57 (0 if shipping operator AND VIII = Yes).</f>
        <v/>
      </c>
      <c r="H95" s="2" t="inlineStr">
        <is>
          <t>Transferred from Box 19 on Schedule 1</t>
        </is>
      </c>
      <c r="I95" s="2" t="inlineStr">
        <is>
          <t>Yes</t>
        </is>
      </c>
      <c r="J95" s="2" t="inlineStr"/>
    </row>
    <row r="96">
      <c r="A96" s="2" t="inlineStr">
        <is>
          <t>R095</t>
        </is>
      </c>
      <c r="B96" s="2" t="n">
        <v>7</v>
      </c>
      <c r="C96" s="2" t="inlineStr">
        <is>
          <t>Section B – Rental election</t>
        </is>
      </c>
      <c r="D96" s="2" t="inlineStr">
        <is>
          <t>58, 60</t>
        </is>
      </c>
      <c r="E96" s="2" t="inlineStr">
        <is>
          <t>Page7.B58, B60</t>
        </is>
      </c>
      <c r="F96" s="2" t="inlineStr">
        <is>
          <t>Input format</t>
        </is>
      </c>
      <c r="G96" s="2" t="inlineStr">
        <is>
          <t>Manual (2 dp). Open only if Basis = Cash.</t>
        </is>
      </c>
      <c r="H96" s="2" t="inlineStr">
        <is>
          <t>Only if s28 election made</t>
        </is>
      </c>
      <c r="I96" s="2" t="inlineStr">
        <is>
          <t>Yes</t>
        </is>
      </c>
      <c r="J96" s="2" t="inlineStr"/>
    </row>
    <row r="97">
      <c r="A97" s="2" t="inlineStr">
        <is>
          <t>R096</t>
        </is>
      </c>
      <c r="B97" s="2" t="n">
        <v>7</v>
      </c>
      <c r="C97" s="2" t="inlineStr">
        <is>
          <t>Section B – Rental election</t>
        </is>
      </c>
      <c r="D97" s="2" t="inlineStr">
        <is>
          <t>59</t>
        </is>
      </c>
      <c r="E97" s="2" t="inlineStr">
        <is>
          <t>Page7.B59</t>
        </is>
      </c>
      <c r="F97" s="2" t="inlineStr">
        <is>
          <t>Calculation (locked)</t>
        </is>
      </c>
      <c r="G97" s="2">
        <f> ROUND(58 × 0.20, 2)</f>
        <v/>
      </c>
      <c r="H97" s="2" t="inlineStr">
        <is>
          <t>Multiply Box 58 by 0.20</t>
        </is>
      </c>
      <c r="I97" s="2" t="inlineStr">
        <is>
          <t>Yes</t>
        </is>
      </c>
      <c r="J97" s="2" t="inlineStr"/>
    </row>
    <row r="98">
      <c r="A98" s="2" t="inlineStr">
        <is>
          <t>R097</t>
        </is>
      </c>
      <c r="B98" s="2" t="n">
        <v>7</v>
      </c>
      <c r="C98" s="2" t="inlineStr">
        <is>
          <t>Section B – Rental election</t>
        </is>
      </c>
      <c r="D98" s="2" t="inlineStr">
        <is>
          <t>61</t>
        </is>
      </c>
      <c r="E98" s="2" t="inlineStr">
        <is>
          <t>Page7.B61</t>
        </is>
      </c>
      <c r="F98" s="2" t="inlineStr">
        <is>
          <t>Calculation (locked)</t>
        </is>
      </c>
      <c r="G98" s="2">
        <f> 60 − 59</f>
        <v/>
      </c>
      <c r="H98" s="2" t="inlineStr">
        <is>
          <t>Box 60 minus Box 59</t>
        </is>
      </c>
      <c r="I98" s="2" t="inlineStr">
        <is>
          <t>Yes</t>
        </is>
      </c>
      <c r="J98" s="2" t="inlineStr"/>
    </row>
    <row r="99">
      <c r="A99" s="2" t="inlineStr">
        <is>
          <t>R098</t>
        </is>
      </c>
      <c r="B99" s="2" t="n">
        <v>7</v>
      </c>
      <c r="C99" s="2" t="inlineStr">
        <is>
          <t>Section B – Disallowed</t>
        </is>
      </c>
      <c r="D99" s="2" t="inlineStr">
        <is>
          <t>62–63, 65–85, 89–90</t>
        </is>
      </c>
      <c r="E99" s="2" t="inlineStr">
        <is>
          <t>Page7.B62…B90</t>
        </is>
      </c>
      <c r="F99" s="2" t="inlineStr">
        <is>
          <t>Input format</t>
        </is>
      </c>
      <c r="G99" s="2" t="inlineStr">
        <is>
          <t>Manual (2 dp).</t>
        </is>
      </c>
      <c r="H99" s="2" t="inlineStr">
        <is>
          <t>Do not include amounts already in Box 60</t>
        </is>
      </c>
      <c r="I99" s="2" t="inlineStr">
        <is>
          <t>No</t>
        </is>
      </c>
      <c r="J99" s="2" t="inlineStr">
        <is>
          <t>Not checked against Schedule 1 (e.g. Box 70 vs donations, Box 84 vs Box 26/154).</t>
        </is>
      </c>
    </row>
    <row r="100">
      <c r="A100" s="2" t="inlineStr">
        <is>
          <t>R099</t>
        </is>
      </c>
      <c r="B100" s="2" t="n">
        <v>7</v>
      </c>
      <c r="C100" s="2" t="inlineStr">
        <is>
          <t>Section B – Disallowed</t>
        </is>
      </c>
      <c r="D100" s="2" t="inlineStr">
        <is>
          <t>64, 87</t>
        </is>
      </c>
      <c r="E100" s="2" t="inlineStr">
        <is>
          <t>Page7.B64, B87</t>
        </is>
      </c>
      <c r="F100" s="2" t="inlineStr">
        <is>
          <t>Input format</t>
        </is>
      </c>
      <c r="G100" s="2" t="inlineStr">
        <is>
          <t>Manual. Open only if Permanent establishment ticked.</t>
        </is>
      </c>
      <c r="H100" s="2" t="inlineStr">
        <is>
          <t>PE of a non-resident only</t>
        </is>
      </c>
      <c r="I100" s="2" t="inlineStr">
        <is>
          <t>Yes</t>
        </is>
      </c>
      <c r="J100" s="2" t="inlineStr"/>
    </row>
    <row r="101">
      <c r="A101" s="2" t="inlineStr">
        <is>
          <t>R100</t>
        </is>
      </c>
      <c r="B101" s="2" t="n">
        <v>7</v>
      </c>
      <c r="C101" s="2" t="inlineStr">
        <is>
          <t>Section B – Disallowed</t>
        </is>
      </c>
      <c r="D101" s="2" t="inlineStr">
        <is>
          <t>88</t>
        </is>
      </c>
      <c r="E101" s="2" t="inlineStr">
        <is>
          <t>Page7.B88</t>
        </is>
      </c>
      <c r="F101" s="2" t="inlineStr">
        <is>
          <t>Input format</t>
        </is>
      </c>
      <c r="G101" s="2" t="inlineStr">
        <is>
          <t>Manual. Open only if Residency = Non-resident.</t>
        </is>
      </c>
      <c r="H101" s="2" t="inlineStr"/>
      <c r="I101" s="2" t="inlineStr">
        <is>
          <t>Yes</t>
        </is>
      </c>
      <c r="J101" s="2" t="inlineStr"/>
    </row>
    <row r="102">
      <c r="A102" s="2" t="inlineStr">
        <is>
          <t>R101</t>
        </is>
      </c>
      <c r="B102" s="2" t="n">
        <v>7</v>
      </c>
      <c r="C102" s="2" t="inlineStr">
        <is>
          <t>Section B – Disallowed</t>
        </is>
      </c>
      <c r="D102" s="2" t="inlineStr">
        <is>
          <t>86</t>
        </is>
      </c>
      <c r="E102" s="2" t="inlineStr">
        <is>
          <t>Page7.B86</t>
        </is>
      </c>
      <c r="F102" s="2" t="inlineStr">
        <is>
          <t>Calculation (locked)</t>
        </is>
      </c>
      <c r="G102" s="2">
        <f> Balancing charge total (page 14, col 14.1)</f>
        <v/>
      </c>
      <c r="H102" s="2" t="inlineStr">
        <is>
          <t>Transferred from Statement of Balancing Allowance/Charge</t>
        </is>
      </c>
      <c r="I102" s="2" t="inlineStr">
        <is>
          <t>Yes</t>
        </is>
      </c>
      <c r="J102" s="2" t="inlineStr"/>
    </row>
    <row r="103">
      <c r="A103" s="2" t="inlineStr">
        <is>
          <t>R102</t>
        </is>
      </c>
      <c r="B103" s="2" t="n">
        <v>7</v>
      </c>
      <c r="C103" s="2" t="inlineStr">
        <is>
          <t>Section B – Disallowed</t>
        </is>
      </c>
      <c r="D103" s="2" t="inlineStr">
        <is>
          <t>91</t>
        </is>
      </c>
      <c r="E103" s="2" t="inlineStr">
        <is>
          <t>Page7.B91</t>
        </is>
      </c>
      <c r="F103" s="2" t="inlineStr">
        <is>
          <t>Calculation (locked)</t>
        </is>
      </c>
      <c r="G103" s="2">
        <f> sum of Boxes 62 to 90</f>
        <v/>
      </c>
      <c r="H103" s="2" t="inlineStr">
        <is>
          <t>Sum of Boxes 62 to 90</t>
        </is>
      </c>
      <c r="I103" s="2" t="inlineStr">
        <is>
          <t>Yes</t>
        </is>
      </c>
      <c r="J103" s="2" t="inlineStr"/>
    </row>
    <row r="104">
      <c r="A104" s="2" t="inlineStr">
        <is>
          <t>R103</t>
        </is>
      </c>
      <c r="B104" s="2" t="n">
        <v>8</v>
      </c>
      <c r="C104" s="2" t="inlineStr">
        <is>
          <t>Section B – Allowed</t>
        </is>
      </c>
      <c r="D104" s="2" t="inlineStr">
        <is>
          <t>92</t>
        </is>
      </c>
      <c r="E104" s="2" t="inlineStr">
        <is>
          <t>Page8.B92</t>
        </is>
      </c>
      <c r="F104" s="2" t="inlineStr">
        <is>
          <t>Calculation (locked)</t>
        </is>
      </c>
      <c r="G104" s="2">
        <f> Capital allowance total (page 13, col 7)</f>
        <v/>
      </c>
      <c r="H104" s="2" t="inlineStr">
        <is>
          <t>Transferred from Statement of Capital Allowance</t>
        </is>
      </c>
      <c r="I104" s="2" t="inlineStr">
        <is>
          <t>Yes</t>
        </is>
      </c>
      <c r="J104" s="2" t="inlineStr"/>
    </row>
    <row r="105">
      <c r="A105" s="2" t="inlineStr">
        <is>
          <t>R104</t>
        </is>
      </c>
      <c r="B105" s="2" t="n">
        <v>8</v>
      </c>
      <c r="C105" s="2" t="inlineStr">
        <is>
          <t>Section B – Allowed</t>
        </is>
      </c>
      <c r="D105" s="2" t="inlineStr">
        <is>
          <t>93</t>
        </is>
      </c>
      <c r="E105" s="2" t="inlineStr">
        <is>
          <t>Page8.B93</t>
        </is>
      </c>
      <c r="F105" s="2" t="inlineStr">
        <is>
          <t>Calculation (locked)</t>
        </is>
      </c>
      <c r="G105" s="2">
        <f> Balancing allowance total (page 14, col 14.2) × −1</f>
        <v/>
      </c>
      <c r="H105" s="2" t="inlineStr">
        <is>
          <t>Transferred from Statement of Balancing Allowance</t>
        </is>
      </c>
      <c r="I105" s="2" t="inlineStr">
        <is>
          <t>Yes</t>
        </is>
      </c>
      <c r="J105" s="2" t="inlineStr">
        <is>
          <t>Col 14.2 is entered as a negative (footnote 14), and the × −1 turns it into a positive deduction.</t>
        </is>
      </c>
    </row>
    <row r="106">
      <c r="A106" s="2" t="inlineStr">
        <is>
          <t>R105</t>
        </is>
      </c>
      <c r="B106" s="2" t="n">
        <v>8</v>
      </c>
      <c r="C106" s="2" t="inlineStr">
        <is>
          <t>Section B – Allowed</t>
        </is>
      </c>
      <c r="D106" s="2" t="inlineStr">
        <is>
          <t>94</t>
        </is>
      </c>
      <c r="E106" s="2" t="inlineStr">
        <is>
          <t>Page8.B94</t>
        </is>
      </c>
      <c r="F106" s="2" t="inlineStr">
        <is>
          <t>Calculation (locked)</t>
        </is>
      </c>
      <c r="G106" s="2">
        <f> lower of Box 64 and 3% of Schedule 1 Box 1 (Revenue)</f>
        <v/>
      </c>
      <c r="H106" s="2" t="inlineStr">
        <is>
          <t>Lower of Box 64 and 3% of Box 1 of Schedule 1</t>
        </is>
      </c>
      <c r="I106" s="2" t="inlineStr">
        <is>
          <t>Yes</t>
        </is>
      </c>
      <c r="J106" s="2" t="inlineStr">
        <is>
          <t>Not rounded to 2 dp in script. Opens only for PE.</t>
        </is>
      </c>
    </row>
    <row r="107">
      <c r="A107" s="2" t="inlineStr">
        <is>
          <t>R106</t>
        </is>
      </c>
      <c r="B107" s="2" t="n">
        <v>8</v>
      </c>
      <c r="C107" s="2" t="inlineStr">
        <is>
          <t>Section B – Allowed</t>
        </is>
      </c>
      <c r="D107" s="2" t="inlineStr">
        <is>
          <t>95–97, 99–108, 112–114</t>
        </is>
      </c>
      <c r="E107" s="2" t="inlineStr">
        <is>
          <t>Page8.B95…B114</t>
        </is>
      </c>
      <c r="F107" s="2" t="inlineStr">
        <is>
          <t>Input format</t>
        </is>
      </c>
      <c r="G107" s="2" t="inlineStr">
        <is>
          <t>Manual (2 dp).</t>
        </is>
      </c>
      <c r="H107" s="2" t="inlineStr"/>
      <c r="I107" s="2" t="inlineStr">
        <is>
          <t>No</t>
        </is>
      </c>
      <c r="J107" s="2" t="inlineStr">
        <is>
          <t>Box 100 (≤6% p.a. interest) and Box 101 (low-value assets) limits are not tested.</t>
        </is>
      </c>
    </row>
    <row r="108">
      <c r="A108" s="2" t="inlineStr">
        <is>
          <t>R107</t>
        </is>
      </c>
      <c r="B108" s="2" t="n">
        <v>8</v>
      </c>
      <c r="C108" s="2" t="inlineStr">
        <is>
          <t>Section B – Allowed</t>
        </is>
      </c>
      <c r="D108" s="2" t="inlineStr">
        <is>
          <t>98</t>
        </is>
      </c>
      <c r="E108" s="2" t="inlineStr">
        <is>
          <t>Page8.B98</t>
        </is>
      </c>
      <c r="F108" s="2" t="inlineStr">
        <is>
          <t>Input format</t>
        </is>
      </c>
      <c r="G108" s="2" t="inlineStr">
        <is>
          <t>Manual. Open only if PE ticked.</t>
        </is>
      </c>
      <c r="H108" s="2" t="inlineStr"/>
      <c r="I108" s="2" t="inlineStr">
        <is>
          <t>Yes</t>
        </is>
      </c>
      <c r="J108" s="2" t="inlineStr"/>
    </row>
    <row r="109">
      <c r="A109" s="2" t="inlineStr">
        <is>
          <t>R108</t>
        </is>
      </c>
      <c r="B109" s="2" t="n">
        <v>8</v>
      </c>
      <c r="C109" s="2" t="inlineStr">
        <is>
          <t>Section B – Allowed</t>
        </is>
      </c>
      <c r="D109" s="2" t="inlineStr">
        <is>
          <t>109</t>
        </is>
      </c>
      <c r="E109" s="2" t="inlineStr">
        <is>
          <t>Page8.B109</t>
        </is>
      </c>
      <c r="F109" s="2" t="inlineStr">
        <is>
          <t>Input format</t>
        </is>
      </c>
      <c r="G109" s="2" t="inlineStr">
        <is>
          <t>Manual. Open only if Non-resident.</t>
        </is>
      </c>
      <c r="H109" s="2" t="inlineStr"/>
      <c r="I109" s="2" t="inlineStr">
        <is>
          <t>Yes</t>
        </is>
      </c>
      <c r="J109" s="2" t="inlineStr"/>
    </row>
    <row r="110">
      <c r="A110" s="2" t="inlineStr">
        <is>
          <t>R109</t>
        </is>
      </c>
      <c r="B110" s="2" t="n">
        <v>8</v>
      </c>
      <c r="C110" s="2" t="inlineStr">
        <is>
          <t>Section B – Exempt income</t>
        </is>
      </c>
      <c r="D110" s="2" t="inlineStr">
        <is>
          <t>110, 111</t>
        </is>
      </c>
      <c r="E110" s="2" t="inlineStr">
        <is>
          <t>Page8.B110, B111</t>
        </is>
      </c>
      <c r="F110" s="2" t="inlineStr">
        <is>
          <t>Input format</t>
        </is>
      </c>
      <c r="G110" s="2" t="inlineStr">
        <is>
          <t>Manual. Open only if Resident.</t>
        </is>
      </c>
      <c r="H110" s="2" t="inlineStr">
        <is>
          <t>If you are a resident</t>
        </is>
      </c>
      <c r="I110" s="2" t="inlineStr">
        <is>
          <t>Yes</t>
        </is>
      </c>
      <c r="J110" s="2" t="inlineStr"/>
    </row>
    <row r="111">
      <c r="A111" s="2" t="inlineStr">
        <is>
          <t>R110</t>
        </is>
      </c>
      <c r="B111" s="2" t="n">
        <v>8</v>
      </c>
      <c r="C111" s="2" t="inlineStr">
        <is>
          <t>Section B</t>
        </is>
      </c>
      <c r="D111" s="2" t="inlineStr">
        <is>
          <t>115</t>
        </is>
      </c>
      <c r="E111" s="2" t="inlineStr">
        <is>
          <t>Page8.B115</t>
        </is>
      </c>
      <c r="F111" s="2" t="inlineStr">
        <is>
          <t>Calculation (locked)</t>
        </is>
      </c>
      <c r="G111" s="2">
        <f> sum of Boxes 92 to 114</f>
        <v/>
      </c>
      <c r="H111" s="2" t="inlineStr">
        <is>
          <t>Sum of Boxes 92 to 114</t>
        </is>
      </c>
      <c r="I111" s="2" t="inlineStr">
        <is>
          <t>Yes</t>
        </is>
      </c>
      <c r="J111" s="2" t="inlineStr"/>
    </row>
    <row r="112">
      <c r="A112" s="2" t="inlineStr">
        <is>
          <t>R111</t>
        </is>
      </c>
      <c r="B112" s="2" t="n">
        <v>8</v>
      </c>
      <c r="C112" s="2" t="inlineStr">
        <is>
          <t>Section B</t>
        </is>
      </c>
      <c r="D112" s="2" t="inlineStr">
        <is>
          <t>116</t>
        </is>
      </c>
      <c r="E112" s="2" t="inlineStr">
        <is>
          <t>Page8.B116</t>
        </is>
      </c>
      <c r="F112" s="2" t="inlineStr">
        <is>
          <t>Calculation (locked)</t>
        </is>
      </c>
      <c r="G112" s="2">
        <f> 57 + 61 + 91 − 115</f>
        <v/>
      </c>
      <c r="H112" s="2" t="inlineStr">
        <is>
          <t>Sum of Boxes 57, 61 and 91 minus Box 115</t>
        </is>
      </c>
      <c r="I112" s="2" t="inlineStr">
        <is>
          <t>Yes</t>
        </is>
      </c>
      <c r="J112" s="2" t="inlineStr"/>
    </row>
    <row r="113">
      <c r="A113" s="2" t="inlineStr">
        <is>
          <t>R112</t>
        </is>
      </c>
      <c r="B113" s="2" t="n">
        <v>8</v>
      </c>
      <c r="C113" s="2" t="inlineStr">
        <is>
          <t>Section B – Thin cap</t>
        </is>
      </c>
      <c r="D113" s="2" t="inlineStr">
        <is>
          <t>117</t>
        </is>
      </c>
      <c r="E113" s="2" t="inlineStr">
        <is>
          <t>Page8.B117</t>
        </is>
      </c>
      <c r="F113" s="2" t="inlineStr">
        <is>
          <t>Calculation (locked)</t>
        </is>
      </c>
      <c r="G113" s="2">
        <f> 116 + 92 + 93 + 99 + 100, floor 0; = 0 if any thin-cap exemption ticked</f>
        <v/>
      </c>
      <c r="H113" s="2" t="inlineStr">
        <is>
          <t>Tax-EBITDA; zero if negative</t>
        </is>
      </c>
      <c r="I113" s="2" t="inlineStr">
        <is>
          <t>Yes</t>
        </is>
      </c>
      <c r="J113" s="2" t="inlineStr"/>
    </row>
    <row r="114">
      <c r="A114" s="2" t="inlineStr">
        <is>
          <t>R113</t>
        </is>
      </c>
      <c r="B114" s="2" t="n">
        <v>8</v>
      </c>
      <c r="C114" s="2" t="inlineStr">
        <is>
          <t>Section B – Thin cap</t>
        </is>
      </c>
      <c r="D114" s="2" t="inlineStr">
        <is>
          <t>118</t>
        </is>
      </c>
      <c r="E114" s="2" t="inlineStr">
        <is>
          <t>Page8.B118</t>
        </is>
      </c>
      <c r="F114" s="2" t="inlineStr">
        <is>
          <t>Calculation (locked)</t>
        </is>
      </c>
      <c r="G114" s="2">
        <f> ROUND(117 × 0.30, 2)</f>
        <v/>
      </c>
      <c r="H114" s="2" t="inlineStr">
        <is>
          <t>30% of tax-EBITDA</t>
        </is>
      </c>
      <c r="I114" s="2" t="inlineStr">
        <is>
          <t>Yes</t>
        </is>
      </c>
      <c r="J114" s="2" t="inlineStr"/>
    </row>
    <row r="115">
      <c r="A115" s="2" t="inlineStr">
        <is>
          <t>R114</t>
        </is>
      </c>
      <c r="B115" s="2" t="n">
        <v>8</v>
      </c>
      <c r="C115" s="2" t="inlineStr">
        <is>
          <t>Section B – Thin cap</t>
        </is>
      </c>
      <c r="D115" s="2" t="inlineStr">
        <is>
          <t>119</t>
        </is>
      </c>
      <c r="E115" s="2" t="inlineStr">
        <is>
          <t>Page8.B119</t>
        </is>
      </c>
      <c r="F115" s="2" t="inlineStr">
        <is>
          <t>Input format</t>
        </is>
      </c>
      <c r="G115" s="2" t="inlineStr">
        <is>
          <t>Manual (disallowed interest b/f).</t>
        </is>
      </c>
      <c r="H115" s="2" t="inlineStr"/>
      <c r="I115" s="2" t="inlineStr">
        <is>
          <t>No</t>
        </is>
      </c>
      <c r="J115" s="2" t="inlineStr">
        <is>
          <t>No 2 dp validation picture on this box.</t>
        </is>
      </c>
    </row>
    <row r="116">
      <c r="A116" s="2" t="inlineStr">
        <is>
          <t>R115</t>
        </is>
      </c>
      <c r="B116" s="2" t="n">
        <v>8</v>
      </c>
      <c r="C116" s="2" t="inlineStr">
        <is>
          <t>Section B – Thin cap</t>
        </is>
      </c>
      <c r="D116" s="2" t="inlineStr">
        <is>
          <t>120</t>
        </is>
      </c>
      <c r="E116" s="2" t="inlineStr">
        <is>
          <t>Page8.B120</t>
        </is>
      </c>
      <c r="F116" s="2" t="inlineStr">
        <is>
          <t>Calculation (locked)</t>
        </is>
      </c>
      <c r="G116" s="2">
        <f> lower of 118 and 119</f>
        <v/>
      </c>
      <c r="H116" s="2" t="inlineStr">
        <is>
          <t>Lower of Boxes 118 and 119</t>
        </is>
      </c>
      <c r="I116" s="2" t="inlineStr">
        <is>
          <t>Yes</t>
        </is>
      </c>
      <c r="J116" s="2" t="inlineStr"/>
    </row>
    <row r="117">
      <c r="A117" s="2" t="inlineStr">
        <is>
          <t>R116</t>
        </is>
      </c>
      <c r="B117" s="2" t="n">
        <v>8</v>
      </c>
      <c r="C117" s="2" t="inlineStr">
        <is>
          <t>Section B – Thin cap</t>
        </is>
      </c>
      <c r="D117" s="2" t="inlineStr">
        <is>
          <t>121</t>
        </is>
      </c>
      <c r="E117" s="2" t="inlineStr">
        <is>
          <t>Page8.B121</t>
        </is>
      </c>
      <c r="F117" s="2" t="inlineStr">
        <is>
          <t>Calculation (locked)</t>
        </is>
      </c>
      <c r="G117" s="2">
        <f> 118 − 120</f>
        <v/>
      </c>
      <c r="H117" s="2" t="inlineStr">
        <is>
          <t>Box 118 minus Box 120</t>
        </is>
      </c>
      <c r="I117" s="2" t="inlineStr">
        <is>
          <t>Yes</t>
        </is>
      </c>
      <c r="J117" s="2" t="inlineStr"/>
    </row>
    <row r="118">
      <c r="A118" s="2" t="inlineStr">
        <is>
          <t>R117</t>
        </is>
      </c>
      <c r="B118" s="2" t="n">
        <v>8</v>
      </c>
      <c r="C118" s="2" t="inlineStr">
        <is>
          <t>Section B – Thin cap</t>
        </is>
      </c>
      <c r="D118" s="2" t="inlineStr">
        <is>
          <t>122</t>
        </is>
      </c>
      <c r="E118" s="2" t="inlineStr">
        <is>
          <t>Page8.B122</t>
        </is>
      </c>
      <c r="F118" s="2" t="inlineStr">
        <is>
          <t>Calculation (locked)</t>
        </is>
      </c>
      <c r="G118" s="2">
        <f> 99 + 100 − 121, floor 0; = 0 if exempt</f>
        <v/>
      </c>
      <c r="H118" s="2" t="inlineStr">
        <is>
          <t>Zero if negative</t>
        </is>
      </c>
      <c r="I118" s="2" t="inlineStr">
        <is>
          <t>Yes</t>
        </is>
      </c>
      <c r="J118" s="2" t="inlineStr"/>
    </row>
    <row r="119">
      <c r="A119" s="2" t="inlineStr">
        <is>
          <t>R118</t>
        </is>
      </c>
      <c r="B119" s="2" t="n">
        <v>8</v>
      </c>
      <c r="C119" s="2" t="inlineStr">
        <is>
          <t>Section B – Thin cap</t>
        </is>
      </c>
      <c r="D119" s="2" t="inlineStr">
        <is>
          <t>123–126</t>
        </is>
      </c>
      <c r="E119" s="2" t="inlineStr">
        <is>
          <t>Page8.B123–B126</t>
        </is>
      </c>
      <c r="F119" s="2" t="inlineStr">
        <is>
          <t>Input format</t>
        </is>
      </c>
      <c r="G119" s="2" t="inlineStr">
        <is>
          <t>Manual (interest to MMA-licensed entities).</t>
        </is>
      </c>
      <c r="H119" s="2" t="inlineStr"/>
      <c r="I119" s="2" t="inlineStr">
        <is>
          <t>No</t>
        </is>
      </c>
      <c r="J119" s="2" t="inlineStr">
        <is>
          <t>Boxes 124–126 have no 2 dp validation picture.</t>
        </is>
      </c>
    </row>
    <row r="120">
      <c r="A120" s="2" t="inlineStr">
        <is>
          <t>R119</t>
        </is>
      </c>
      <c r="B120" s="2" t="n">
        <v>9</v>
      </c>
      <c r="C120" s="2" t="inlineStr">
        <is>
          <t>Section B – Thin cap</t>
        </is>
      </c>
      <c r="D120" s="2" t="inlineStr">
        <is>
          <t>127</t>
        </is>
      </c>
      <c r="E120" s="2" t="inlineStr">
        <is>
          <t>Page9.B127</t>
        </is>
      </c>
      <c r="F120" s="2" t="inlineStr">
        <is>
          <t>Calculation (locked)</t>
        </is>
      </c>
      <c r="G120" s="2">
        <f> 123 + 124 + 125 + 126</f>
        <v/>
      </c>
      <c r="H120" s="2" t="inlineStr">
        <is>
          <t>Sum of Boxes 123 to 126</t>
        </is>
      </c>
      <c r="I120" s="2" t="inlineStr">
        <is>
          <t>Yes</t>
        </is>
      </c>
      <c r="J120" s="2" t="inlineStr"/>
    </row>
    <row r="121">
      <c r="A121" s="2" t="inlineStr">
        <is>
          <t>R120</t>
        </is>
      </c>
      <c r="B121" s="2" t="n">
        <v>9</v>
      </c>
      <c r="C121" s="2" t="inlineStr">
        <is>
          <t>Section B – Thin cap</t>
        </is>
      </c>
      <c r="D121" s="2" t="inlineStr">
        <is>
          <t>128</t>
        </is>
      </c>
      <c r="E121" s="2" t="inlineStr">
        <is>
          <t>Page9.B128</t>
        </is>
      </c>
      <c r="F121" s="2" t="inlineStr">
        <is>
          <t>Calculation (locked)</t>
        </is>
      </c>
      <c r="G121" s="2">
        <f> 122 − 127, floor 0; = 0 if exempt</f>
        <v/>
      </c>
      <c r="H121" s="2" t="inlineStr">
        <is>
          <t>Zero if negative</t>
        </is>
      </c>
      <c r="I121" s="2" t="inlineStr">
        <is>
          <t>Yes</t>
        </is>
      </c>
      <c r="J121" s="2" t="inlineStr"/>
    </row>
    <row r="122">
      <c r="A122" s="2" t="inlineStr">
        <is>
          <t>R121</t>
        </is>
      </c>
      <c r="B122" s="2" t="n">
        <v>9</v>
      </c>
      <c r="C122" s="2" t="inlineStr">
        <is>
          <t>Section B</t>
        </is>
      </c>
      <c r="D122" s="2" t="inlineStr">
        <is>
          <t>129</t>
        </is>
      </c>
      <c r="E122" s="2" t="inlineStr">
        <is>
          <t>Page9.B129</t>
        </is>
      </c>
      <c r="F122" s="2" t="inlineStr">
        <is>
          <t>Calculation (locked)</t>
        </is>
      </c>
      <c r="G122" s="2">
        <f> 116 + 128 − 120, floor 0</f>
        <v/>
      </c>
      <c r="H122" s="2" t="inlineStr">
        <is>
          <t>If negative, enter in Box 130</t>
        </is>
      </c>
      <c r="I122" s="2" t="inlineStr">
        <is>
          <t>Yes</t>
        </is>
      </c>
      <c r="J122" s="2" t="inlineStr"/>
    </row>
    <row r="123">
      <c r="A123" s="2" t="inlineStr">
        <is>
          <t>R122</t>
        </is>
      </c>
      <c r="B123" s="2" t="n">
        <v>9</v>
      </c>
      <c r="C123" s="2" t="inlineStr">
        <is>
          <t>Section B</t>
        </is>
      </c>
      <c r="D123" s="2" t="inlineStr">
        <is>
          <t>130</t>
        </is>
      </c>
      <c r="E123" s="2" t="inlineStr">
        <is>
          <t>Page9.B130</t>
        </is>
      </c>
      <c r="F123" s="2" t="inlineStr">
        <is>
          <t>Calculation (locked)</t>
        </is>
      </c>
      <c r="G123" s="2">
        <f> 116 + 128 − 120 when negative, else 0</f>
        <v/>
      </c>
      <c r="H123" s="2" t="inlineStr">
        <is>
          <t>Tax loss from business</t>
        </is>
      </c>
      <c r="I123" s="2" t="inlineStr">
        <is>
          <t>Yes</t>
        </is>
      </c>
      <c r="J123" s="2" t="inlineStr">
        <is>
          <t>Shown as a negative number.</t>
        </is>
      </c>
    </row>
    <row r="124">
      <c r="A124" s="2" t="inlineStr">
        <is>
          <t>R123</t>
        </is>
      </c>
      <c r="B124" s="2" t="n">
        <v>9</v>
      </c>
      <c r="C124" s="2" t="inlineStr">
        <is>
          <t>Section B – Remuneration</t>
        </is>
      </c>
      <c r="D124" s="2" t="inlineStr">
        <is>
          <t>131</t>
        </is>
      </c>
      <c r="E124" s="2" t="inlineStr">
        <is>
          <t>Page9.B131</t>
        </is>
      </c>
      <c r="F124" s="2" t="inlineStr">
        <is>
          <t>Input format</t>
        </is>
      </c>
      <c r="G124" s="2" t="inlineStr">
        <is>
          <t>Manual. Open only if Individual.</t>
        </is>
      </c>
      <c r="H124" s="2" t="inlineStr"/>
      <c r="I124" s="2" t="inlineStr">
        <is>
          <t>Yes</t>
        </is>
      </c>
      <c r="J124" s="2" t="inlineStr"/>
    </row>
    <row r="125">
      <c r="A125" s="2" t="inlineStr">
        <is>
          <t>R124</t>
        </is>
      </c>
      <c r="B125" s="2" t="n">
        <v>9</v>
      </c>
      <c r="C125" s="2" t="inlineStr">
        <is>
          <t>Section B – Remuneration</t>
        </is>
      </c>
      <c r="D125" s="2" t="inlineStr">
        <is>
          <t>132–135, 139</t>
        </is>
      </c>
      <c r="E125" s="2" t="inlineStr">
        <is>
          <t>Page9.B132…B139</t>
        </is>
      </c>
      <c r="F125" s="2" t="inlineStr">
        <is>
          <t>Input format</t>
        </is>
      </c>
      <c r="G125" s="2" t="inlineStr">
        <is>
          <t>Manual (2 dp).</t>
        </is>
      </c>
      <c r="H125" s="2" t="inlineStr">
        <is>
          <t>Box 135 until 20 July 2021</t>
        </is>
      </c>
      <c r="I125" s="2" t="inlineStr">
        <is>
          <t>Partly</t>
        </is>
      </c>
      <c r="J125" s="2" t="inlineStr">
        <is>
          <t>Box 135 not locked for later periods.</t>
        </is>
      </c>
    </row>
    <row r="126">
      <c r="A126" s="2" t="inlineStr">
        <is>
          <t>R125</t>
        </is>
      </c>
      <c r="B126" s="2" t="n">
        <v>9</v>
      </c>
      <c r="C126" s="2" t="inlineStr">
        <is>
          <t>Section B – Remuneration</t>
        </is>
      </c>
      <c r="D126" s="2" t="inlineStr">
        <is>
          <t>136–138, 140</t>
        </is>
      </c>
      <c r="E126" s="2" t="inlineStr">
        <is>
          <t>Page9.B136…B140</t>
        </is>
      </c>
      <c r="F126" s="2" t="inlineStr">
        <is>
          <t>Calculation (locked)</t>
        </is>
      </c>
      <c r="G126" s="2" t="inlineStr">
        <is>
          <t>136 = 132+…+135; 137 = lower(131, 136); 138 = 131 − 137; 140 = 138 − 139 floor 0</t>
        </is>
      </c>
      <c r="H126" s="2" t="inlineStr"/>
      <c r="I126" s="2" t="inlineStr">
        <is>
          <t>Yes</t>
        </is>
      </c>
      <c r="J126" s="2" t="inlineStr"/>
    </row>
    <row r="127">
      <c r="A127" s="2" t="inlineStr">
        <is>
          <t>R126</t>
        </is>
      </c>
      <c r="B127" s="2" t="n">
        <v>9</v>
      </c>
      <c r="C127" s="2" t="inlineStr">
        <is>
          <t>Section B – Capital gains</t>
        </is>
      </c>
      <c r="D127" s="2" t="inlineStr">
        <is>
          <t>141–144, 146</t>
        </is>
      </c>
      <c r="E127" s="2" t="inlineStr">
        <is>
          <t>Page9.B141…B146</t>
        </is>
      </c>
      <c r="F127" s="2" t="inlineStr">
        <is>
          <t>Input format</t>
        </is>
      </c>
      <c r="G127" s="2" t="inlineStr">
        <is>
          <t>Manual (2 dp).</t>
        </is>
      </c>
      <c r="H127" s="2" t="inlineStr"/>
      <c r="I127" s="2" t="inlineStr">
        <is>
          <t>Partly</t>
        </is>
      </c>
      <c r="J127" s="2" t="inlineStr"/>
    </row>
    <row r="128">
      <c r="A128" s="2" t="inlineStr">
        <is>
          <t>R127</t>
        </is>
      </c>
      <c r="B128" s="2" t="n">
        <v>9</v>
      </c>
      <c r="C128" s="2" t="inlineStr">
        <is>
          <t>Section B – Capital gains</t>
        </is>
      </c>
      <c r="D128" s="2" t="inlineStr">
        <is>
          <t>145</t>
        </is>
      </c>
      <c r="E128" s="2" t="inlineStr">
        <is>
          <t>Page9.B145</t>
        </is>
      </c>
      <c r="F128" s="2" t="inlineStr">
        <is>
          <t>Calculation (locked)</t>
        </is>
      </c>
      <c r="G128" s="2">
        <f> (141 + 142) − (143 + 144)</f>
        <v/>
      </c>
      <c r="H128" s="2" t="inlineStr"/>
      <c r="I128" s="2" t="inlineStr">
        <is>
          <t>Yes</t>
        </is>
      </c>
      <c r="J128" s="2" t="inlineStr"/>
    </row>
    <row r="129">
      <c r="A129" s="2" t="inlineStr">
        <is>
          <t>R128</t>
        </is>
      </c>
      <c r="B129" s="2" t="n">
        <v>9</v>
      </c>
      <c r="C129" s="2" t="inlineStr">
        <is>
          <t>Section B – Capital gains</t>
        </is>
      </c>
      <c r="D129" s="2" t="inlineStr">
        <is>
          <t>147</t>
        </is>
      </c>
      <c r="E129" s="2" t="inlineStr">
        <is>
          <t>Page9.B147</t>
        </is>
      </c>
      <c r="F129" s="2" t="inlineStr">
        <is>
          <t>Calculation (locked)</t>
        </is>
      </c>
      <c r="G129" s="2">
        <f> lower of 145 and 146; 0 if 145 &lt; 0</f>
        <v/>
      </c>
      <c r="H129" s="2" t="inlineStr"/>
      <c r="I129" s="2" t="inlineStr">
        <is>
          <t>Yes</t>
        </is>
      </c>
      <c r="J129" s="2" t="inlineStr"/>
    </row>
    <row r="130">
      <c r="A130" s="2" t="inlineStr">
        <is>
          <t>R129</t>
        </is>
      </c>
      <c r="B130" s="2" t="n">
        <v>9</v>
      </c>
      <c r="C130" s="2" t="inlineStr">
        <is>
          <t>Section B – Capital gains</t>
        </is>
      </c>
      <c r="D130" s="2" t="inlineStr">
        <is>
          <t>148 / 149</t>
        </is>
      </c>
      <c r="E130" s="2" t="inlineStr">
        <is>
          <t>Page9.B148, B149</t>
        </is>
      </c>
      <c r="F130" s="2" t="inlineStr">
        <is>
          <t>Calculation (locked)</t>
        </is>
      </c>
      <c r="G130" s="2" t="inlineStr">
        <is>
          <t>148 = 145 − 147 floor 0; 149 = the negative remainder (capital loss)</t>
        </is>
      </c>
      <c r="H130" s="2" t="inlineStr">
        <is>
          <t>If negative, enter in Box 149</t>
        </is>
      </c>
      <c r="I130" s="2" t="inlineStr">
        <is>
          <t>Yes</t>
        </is>
      </c>
      <c r="J130" s="2" t="inlineStr"/>
    </row>
    <row r="131">
      <c r="A131" s="2" t="inlineStr">
        <is>
          <t>R130</t>
        </is>
      </c>
      <c r="B131" s="2" t="n">
        <v>9</v>
      </c>
      <c r="C131" s="2" t="inlineStr">
        <is>
          <t>Section B – Gifts/other</t>
        </is>
      </c>
      <c r="D131" s="2" t="inlineStr">
        <is>
          <t>150, 151</t>
        </is>
      </c>
      <c r="E131" s="2" t="inlineStr">
        <is>
          <t>Page9.B150, B151</t>
        </is>
      </c>
      <c r="F131" s="2" t="inlineStr">
        <is>
          <t>Input format</t>
        </is>
      </c>
      <c r="G131" s="2" t="inlineStr">
        <is>
          <t>Manual (2 dp).</t>
        </is>
      </c>
      <c r="H131" s="2" t="inlineStr"/>
      <c r="I131" s="2" t="inlineStr">
        <is>
          <t>Partly</t>
        </is>
      </c>
      <c r="J131" s="2" t="inlineStr"/>
    </row>
    <row r="132">
      <c r="A132" s="2" t="inlineStr">
        <is>
          <t>R131</t>
        </is>
      </c>
      <c r="B132" s="2" t="n">
        <v>9</v>
      </c>
      <c r="C132" s="2" t="inlineStr">
        <is>
          <t>Section B</t>
        </is>
      </c>
      <c r="D132" s="2" t="inlineStr">
        <is>
          <t>152, 153</t>
        </is>
      </c>
      <c r="E132" s="2" t="inlineStr">
        <is>
          <t>Page9.B152, B153</t>
        </is>
      </c>
      <c r="F132" s="2" t="inlineStr">
        <is>
          <t>Calculation (locked)</t>
        </is>
      </c>
      <c r="G132" s="2" t="inlineStr">
        <is>
          <t>152 = 150 + 151; 153 = 129 + 140 + 148 + 152</t>
        </is>
      </c>
      <c r="H132" s="2" t="inlineStr"/>
      <c r="I132" s="2" t="inlineStr">
        <is>
          <t>Yes</t>
        </is>
      </c>
      <c r="J132" s="2" t="inlineStr"/>
    </row>
    <row r="133">
      <c r="A133" s="2" t="inlineStr">
        <is>
          <t>R132</t>
        </is>
      </c>
      <c r="B133" s="2" t="n">
        <v>10</v>
      </c>
      <c r="C133" s="2" t="inlineStr">
        <is>
          <t>Section B – Deductions</t>
        </is>
      </c>
      <c r="D133" s="2" t="inlineStr">
        <is>
          <t>154</t>
        </is>
      </c>
      <c r="E133" s="2" t="inlineStr">
        <is>
          <t>Page10.B154</t>
        </is>
      </c>
      <c r="F133" s="2" t="inlineStr">
        <is>
          <t>Input format + conditional lock</t>
        </is>
      </c>
      <c r="G133" s="2" t="inlineStr">
        <is>
          <t>Manual Zakat. Open only if Section VIII = No; otherwise 0 and locked.</t>
        </is>
      </c>
      <c r="H133" s="2" t="inlineStr"/>
      <c r="I133" s="2" t="inlineStr">
        <is>
          <t>Yes</t>
        </is>
      </c>
      <c r="J133" s="2" t="inlineStr"/>
    </row>
    <row r="134">
      <c r="A134" s="2" t="inlineStr">
        <is>
          <t>R133</t>
        </is>
      </c>
      <c r="B134" s="2" t="n">
        <v>10</v>
      </c>
      <c r="C134" s="2" t="inlineStr">
        <is>
          <t>Section B – Deductions</t>
        </is>
      </c>
      <c r="D134" s="2" t="inlineStr">
        <is>
          <t>155</t>
        </is>
      </c>
      <c r="E134" s="2" t="inlineStr">
        <is>
          <t>Page10.B155</t>
        </is>
      </c>
      <c r="F134" s="2" t="inlineStr">
        <is>
          <t>Calculation (locked)</t>
        </is>
      </c>
      <c r="G134" s="2">
        <f> Statement of Donations total (page 15)</f>
        <v/>
      </c>
      <c r="H134" s="2" t="inlineStr"/>
      <c r="I134" s="2" t="inlineStr">
        <is>
          <t>Yes</t>
        </is>
      </c>
      <c r="J134" s="2" t="inlineStr">
        <is>
          <t>See VIII defect: not cleared when VIII = Yes.</t>
        </is>
      </c>
    </row>
    <row r="135">
      <c r="A135" s="2" t="inlineStr">
        <is>
          <t>R134</t>
        </is>
      </c>
      <c r="B135" s="2" t="n">
        <v>10</v>
      </c>
      <c r="C135" s="2" t="inlineStr">
        <is>
          <t>Section B – Deductions</t>
        </is>
      </c>
      <c r="D135" s="2" t="inlineStr">
        <is>
          <t>156–158</t>
        </is>
      </c>
      <c r="E135" s="2" t="inlineStr">
        <is>
          <t>Page10.B156–B158</t>
        </is>
      </c>
      <c r="F135" s="2" t="inlineStr">
        <is>
          <t>Calculation (locked)</t>
        </is>
      </c>
      <c r="G135" s="2" t="inlineStr">
        <is>
          <t>156 = 140 + 152; 157 = 148; 158 = 129</t>
        </is>
      </c>
      <c r="H135" s="2" t="inlineStr"/>
      <c r="I135" s="2" t="inlineStr">
        <is>
          <t>Yes</t>
        </is>
      </c>
      <c r="J135" s="2" t="inlineStr"/>
    </row>
    <row r="136">
      <c r="A136" s="2" t="inlineStr">
        <is>
          <t>R135</t>
        </is>
      </c>
      <c r="B136" s="2" t="n">
        <v>10</v>
      </c>
      <c r="C136" s="2" t="inlineStr">
        <is>
          <t>Section B – Zakat (Note 1)</t>
        </is>
      </c>
      <c r="D136" s="2" t="inlineStr">
        <is>
          <t>159–161</t>
        </is>
      </c>
      <c r="E136" s="2" t="inlineStr">
        <is>
          <t>Page10.B159–B161</t>
        </is>
      </c>
      <c r="F136" s="2" t="inlineStr">
        <is>
          <t>Allocation waterfall</t>
        </is>
      </c>
      <c r="G136" s="2" t="inlineStr">
        <is>
          <t>Same logic as Boxes 31–33 using 154 against 156 → 157 → 158.</t>
        </is>
      </c>
      <c r="H136" s="2" t="inlineStr">
        <is>
          <t>Note 1</t>
        </is>
      </c>
      <c r="I136" s="2" t="inlineStr">
        <is>
          <t>Yes</t>
        </is>
      </c>
      <c r="J136" s="2" t="inlineStr"/>
    </row>
    <row r="137">
      <c r="A137" s="2" t="inlineStr">
        <is>
          <t>R136</t>
        </is>
      </c>
      <c r="B137" s="2" t="n">
        <v>10</v>
      </c>
      <c r="C137" s="2" t="inlineStr">
        <is>
          <t>Section B</t>
        </is>
      </c>
      <c r="D137" s="2" t="inlineStr">
        <is>
          <t>162–165</t>
        </is>
      </c>
      <c r="E137" s="2" t="inlineStr">
        <is>
          <t>Page10.B162–B165</t>
        </is>
      </c>
      <c r="F137" s="2" t="inlineStr">
        <is>
          <t>Calculation (locked)</t>
        </is>
      </c>
      <c r="G137" s="2" t="inlineStr">
        <is>
          <t>162 = 156 − 159; 163 = 157 − 160; 164 = 158 − 161; 165 = sum</t>
        </is>
      </c>
      <c r="H137" s="2" t="inlineStr"/>
      <c r="I137" s="2" t="inlineStr">
        <is>
          <t>Yes</t>
        </is>
      </c>
      <c r="J137" s="2" t="inlineStr"/>
    </row>
    <row r="138">
      <c r="A138" s="2" t="inlineStr">
        <is>
          <t>R137</t>
        </is>
      </c>
      <c r="B138" s="2" t="n">
        <v>10</v>
      </c>
      <c r="C138" s="2" t="inlineStr">
        <is>
          <t>Section B – Sponsorship (Note 2)</t>
        </is>
      </c>
      <c r="D138" s="2" t="inlineStr">
        <is>
          <t>S5–S8</t>
        </is>
      </c>
      <c r="E138" s="2" t="inlineStr">
        <is>
          <t>Page10.BS5–BS8</t>
        </is>
      </c>
      <c r="F138" s="2" t="inlineStr">
        <is>
          <t>Allocation waterfall</t>
        </is>
      </c>
      <c r="G138" s="2" t="inlineStr">
        <is>
          <t>S5 = Total sponsorships (page 16); S6–S8 allocated against 162 → 163 → 164.</t>
        </is>
      </c>
      <c r="H138" s="2" t="inlineStr">
        <is>
          <t>Note 2</t>
        </is>
      </c>
      <c r="I138" s="2" t="inlineStr">
        <is>
          <t>Yes</t>
        </is>
      </c>
      <c r="J138" s="2" t="inlineStr"/>
    </row>
    <row r="139">
      <c r="A139" s="2" t="inlineStr">
        <is>
          <t>R138</t>
        </is>
      </c>
      <c r="B139" s="2" t="n">
        <v>10</v>
      </c>
      <c r="C139" s="2" t="inlineStr">
        <is>
          <t>Section B</t>
        </is>
      </c>
      <c r="D139" s="2" t="inlineStr">
        <is>
          <t>166–169</t>
        </is>
      </c>
      <c r="E139" s="2" t="inlineStr">
        <is>
          <t>Page10.B166–B169</t>
        </is>
      </c>
      <c r="F139" s="2" t="inlineStr">
        <is>
          <t>Calculation (locked)</t>
        </is>
      </c>
      <c r="G139" s="2" t="inlineStr">
        <is>
          <t>166 = 162 − S6; 167 = 163 − S7; 168 = 164 − S8; 169 = sum</t>
        </is>
      </c>
      <c r="H139" s="2" t="inlineStr"/>
      <c r="I139" s="2" t="inlineStr">
        <is>
          <t>Partly</t>
        </is>
      </c>
      <c r="J139" s="2" t="inlineStr">
        <is>
          <t>Box 174's exit script can overwrite or unlock Box 169 (same quirk as Box 41).</t>
        </is>
      </c>
    </row>
    <row r="140">
      <c r="A140" s="2" t="inlineStr">
        <is>
          <t>R139</t>
        </is>
      </c>
      <c r="B140" s="2" t="n">
        <v>10</v>
      </c>
      <c r="C140" s="2" t="inlineStr">
        <is>
          <t>Section B – Donations (Note 3)</t>
        </is>
      </c>
      <c r="D140" s="2" t="inlineStr">
        <is>
          <t>170</t>
        </is>
      </c>
      <c r="E140" s="2" t="inlineStr">
        <is>
          <t>Page10.B170</t>
        </is>
      </c>
      <c r="F140" s="2" t="inlineStr">
        <is>
          <t>Calculation (locked)</t>
        </is>
      </c>
      <c r="G140" s="2">
        <f> ROUND(169 × 0.05, 2)</f>
        <v/>
      </c>
      <c r="H140" s="2" t="inlineStr"/>
      <c r="I140" s="2" t="inlineStr">
        <is>
          <t>Yes</t>
        </is>
      </c>
      <c r="J140" s="2" t="inlineStr"/>
    </row>
    <row r="141">
      <c r="A141" s="2" t="inlineStr">
        <is>
          <t>R140</t>
        </is>
      </c>
      <c r="B141" s="2" t="n">
        <v>10</v>
      </c>
      <c r="C141" s="2" t="inlineStr">
        <is>
          <t>Section B – Donations (Note 3)</t>
        </is>
      </c>
      <c r="D141" s="2" t="inlineStr">
        <is>
          <t>171</t>
        </is>
      </c>
      <c r="E141" s="2" t="inlineStr">
        <is>
          <t>Page10.B171</t>
        </is>
      </c>
      <c r="F141" s="2" t="inlineStr">
        <is>
          <t>Calculation (locked)</t>
        </is>
      </c>
      <c r="G141" s="2">
        <f> lower of 170 and 155</f>
        <v/>
      </c>
      <c r="H141" s="2" t="inlineStr"/>
      <c r="I141" s="2" t="inlineStr">
        <is>
          <t>Yes</t>
        </is>
      </c>
      <c r="J141" s="2" t="inlineStr"/>
    </row>
    <row r="142">
      <c r="A142" s="2" t="inlineStr">
        <is>
          <t>R141</t>
        </is>
      </c>
      <c r="B142" s="2" t="n">
        <v>10</v>
      </c>
      <c r="C142" s="2" t="inlineStr">
        <is>
          <t>Section B – Donations (Note 3)</t>
        </is>
      </c>
      <c r="D142" s="2" t="inlineStr">
        <is>
          <t>172–174</t>
        </is>
      </c>
      <c r="E142" s="2" t="inlineStr">
        <is>
          <t>Page10.B172–B174</t>
        </is>
      </c>
      <c r="F142" s="2" t="inlineStr">
        <is>
          <t>Allocation waterfall</t>
        </is>
      </c>
      <c r="G142" s="2" t="inlineStr">
        <is>
          <t>Allocated against 166 → 167 → 168.</t>
        </is>
      </c>
      <c r="H142" s="2" t="inlineStr">
        <is>
          <t>Note 3</t>
        </is>
      </c>
      <c r="I142" s="2" t="inlineStr">
        <is>
          <t>Yes</t>
        </is>
      </c>
      <c r="J142" s="2" t="inlineStr"/>
    </row>
    <row r="143">
      <c r="A143" s="2" t="inlineStr">
        <is>
          <t>R142</t>
        </is>
      </c>
      <c r="B143" s="2" t="n">
        <v>10</v>
      </c>
      <c r="C143" s="2" t="inlineStr">
        <is>
          <t>Section B</t>
        </is>
      </c>
      <c r="D143" s="2" t="inlineStr">
        <is>
          <t>175–178</t>
        </is>
      </c>
      <c r="E143" s="2" t="inlineStr">
        <is>
          <t>Page10.B175–B178</t>
        </is>
      </c>
      <c r="F143" s="2" t="inlineStr">
        <is>
          <t>Calculation (locked)</t>
        </is>
      </c>
      <c r="G143" s="2" t="inlineStr">
        <is>
          <t>175 = 166 − 172; 176 = 167 − 173; 177 = 168 − 174; 178 = sum</t>
        </is>
      </c>
      <c r="H143" s="2" t="inlineStr"/>
      <c r="I143" s="2" t="inlineStr">
        <is>
          <t>Yes</t>
        </is>
      </c>
      <c r="J143" s="2" t="inlineStr"/>
    </row>
    <row r="144">
      <c r="A144" s="2" t="inlineStr">
        <is>
          <t>R143</t>
        </is>
      </c>
      <c r="B144" s="2" t="n">
        <v>10</v>
      </c>
      <c r="C144" s="2" t="inlineStr">
        <is>
          <t>Section B – Loss relief</t>
        </is>
      </c>
      <c r="D144" s="2" t="inlineStr">
        <is>
          <t>179</t>
        </is>
      </c>
      <c r="E144" s="2" t="inlineStr">
        <is>
          <t>Page10.B179</t>
        </is>
      </c>
      <c r="F144" s="2" t="inlineStr">
        <is>
          <t>Input format</t>
        </is>
      </c>
      <c r="G144" s="2" t="inlineStr">
        <is>
          <t>Manual business loss b/f.</t>
        </is>
      </c>
      <c r="H144" s="2" t="inlineStr"/>
      <c r="I144" s="2" t="inlineStr">
        <is>
          <t>Partly</t>
        </is>
      </c>
      <c r="J144" s="2" t="inlineStr"/>
    </row>
    <row r="145">
      <c r="A145" s="2" t="inlineStr">
        <is>
          <t>R144</t>
        </is>
      </c>
      <c r="B145" s="2" t="n">
        <v>10</v>
      </c>
      <c r="C145" s="2" t="inlineStr">
        <is>
          <t>Section B – Loss relief</t>
        </is>
      </c>
      <c r="D145" s="2" t="inlineStr">
        <is>
          <t>180</t>
        </is>
      </c>
      <c r="E145" s="2" t="inlineStr">
        <is>
          <t>Page10.B180</t>
        </is>
      </c>
      <c r="F145" s="2" t="inlineStr">
        <is>
          <t>Calculation (locked)</t>
        </is>
      </c>
      <c r="G145" s="2">
        <f> lower of 177 and 179; 0 if 177 ≤ 0</f>
        <v/>
      </c>
      <c r="H145" s="2" t="inlineStr"/>
      <c r="I145" s="2" t="inlineStr">
        <is>
          <t>Yes</t>
        </is>
      </c>
      <c r="J145" s="2" t="inlineStr">
        <is>
          <t>Loss relief only against business income column.</t>
        </is>
      </c>
    </row>
    <row r="146">
      <c r="A146" s="2" t="inlineStr">
        <is>
          <t>R145</t>
        </is>
      </c>
      <c r="B146" s="2" t="n">
        <v>10</v>
      </c>
      <c r="C146" s="2" t="inlineStr">
        <is>
          <t>Section B</t>
        </is>
      </c>
      <c r="D146" s="2" t="inlineStr">
        <is>
          <t>181–184</t>
        </is>
      </c>
      <c r="E146" s="2" t="inlineStr">
        <is>
          <t>Page10.B181–B184</t>
        </is>
      </c>
      <c r="F146" s="2" t="inlineStr">
        <is>
          <t>Calculation (locked)</t>
        </is>
      </c>
      <c r="G146" s="2" t="inlineStr">
        <is>
          <t>181 = 175; 182 = 176; 183 = 177 − 180; 184 = sum</t>
        </is>
      </c>
      <c r="H146" s="2" t="inlineStr"/>
      <c r="I146" s="2" t="inlineStr">
        <is>
          <t>Yes</t>
        </is>
      </c>
      <c r="J146" s="2" t="inlineStr"/>
    </row>
    <row r="147">
      <c r="A147" s="2" t="inlineStr">
        <is>
          <t>R146</t>
        </is>
      </c>
      <c r="B147" s="2" t="n">
        <v>10</v>
      </c>
      <c r="C147" s="2" t="inlineStr">
        <is>
          <t>Section B – CFE</t>
        </is>
      </c>
      <c r="D147" s="2" t="inlineStr">
        <is>
          <t>185</t>
        </is>
      </c>
      <c r="E147" s="2" t="inlineStr">
        <is>
          <t>Page10.B185</t>
        </is>
      </c>
      <c r="F147" s="2" t="inlineStr">
        <is>
          <t>Input format</t>
        </is>
      </c>
      <c r="G147" s="2" t="inlineStr">
        <is>
          <t>Manual share of CFE income.</t>
        </is>
      </c>
      <c r="H147" s="2" t="inlineStr">
        <is>
          <t>Transferred from Schedule 5</t>
        </is>
      </c>
      <c r="I147" s="2" t="inlineStr">
        <is>
          <t>No</t>
        </is>
      </c>
      <c r="J147" s="2" t="inlineStr">
        <is>
          <t>Schedule 5 is not in this file, so it's typed in by hand.</t>
        </is>
      </c>
    </row>
    <row r="148">
      <c r="A148" s="2" t="inlineStr">
        <is>
          <t>R147</t>
        </is>
      </c>
      <c r="B148" s="2" t="n">
        <v>10</v>
      </c>
      <c r="C148" s="2" t="inlineStr">
        <is>
          <t>Section B</t>
        </is>
      </c>
      <c r="D148" s="2" t="inlineStr">
        <is>
          <t>186</t>
        </is>
      </c>
      <c r="E148" s="2" t="inlineStr">
        <is>
          <t>Page10.B186</t>
        </is>
      </c>
      <c r="F148" s="2" t="inlineStr">
        <is>
          <t>Calculation (locked)</t>
        </is>
      </c>
      <c r="G148" s="2">
        <f> 184 + 185</f>
        <v/>
      </c>
      <c r="H148" s="2" t="inlineStr"/>
      <c r="I148" s="2" t="inlineStr">
        <is>
          <t>Yes</t>
        </is>
      </c>
      <c r="J148" s="2" t="inlineStr">
        <is>
          <t>→ Box 187 or 192.</t>
        </is>
      </c>
    </row>
    <row r="149">
      <c r="A149" s="2" t="inlineStr">
        <is>
          <t>R148</t>
        </is>
      </c>
      <c r="B149" s="2" t="n">
        <v>11</v>
      </c>
      <c r="C149" s="2" t="inlineStr">
        <is>
          <t>Section C – Non-individuals</t>
        </is>
      </c>
      <c r="D149" s="2" t="inlineStr">
        <is>
          <t>187</t>
        </is>
      </c>
      <c r="E149" s="2" t="inlineStr">
        <is>
          <t>Page11.C187</t>
        </is>
      </c>
      <c r="F149" s="2" t="inlineStr">
        <is>
          <t>Calculation (locked)</t>
        </is>
      </c>
      <c r="G149" s="2" t="inlineStr">
        <is>
          <t>If Company: = Box 56 if &gt; 0, else Box 186. Otherwise 0.</t>
        </is>
      </c>
      <c r="H149" s="2" t="inlineStr">
        <is>
          <t>Transferred from Box 186 or Box 56</t>
        </is>
      </c>
      <c r="I149" s="2" t="inlineStr">
        <is>
          <t>Yes</t>
        </is>
      </c>
      <c r="J149" s="2" t="inlineStr">
        <is>
          <t>If both Section A and B are filled, A wins.</t>
        </is>
      </c>
    </row>
    <row r="150">
      <c r="A150" s="2" t="inlineStr">
        <is>
          <t>R149</t>
        </is>
      </c>
      <c r="B150" s="2" t="n">
        <v>11</v>
      </c>
      <c r="C150" s="2" t="inlineStr">
        <is>
          <t>Section C – Non-individuals</t>
        </is>
      </c>
      <c r="D150" s="2" t="inlineStr">
        <is>
          <t>188</t>
        </is>
      </c>
      <c r="E150" s="2" t="inlineStr">
        <is>
          <t>Page11.C188</t>
        </is>
      </c>
      <c r="F150" s="2" t="inlineStr">
        <is>
          <t>Calculation (locked)</t>
        </is>
      </c>
      <c r="G150" s="2" t="inlineStr">
        <is>
          <t>Tax-free bracket = (days ÷ 365) × (MVR 500,000 or USD 32,425.42) ÷ (A + 1). Days = To − From + 1, capped at 365. Currency from Section III. 0 unless Company.</t>
        </is>
      </c>
      <c r="H150" s="2" t="inlineStr">
        <is>
          <t>Note 4</t>
        </is>
      </c>
      <c r="I150" s="2" t="inlineStr">
        <is>
          <t>Yes</t>
        </is>
      </c>
      <c r="J150" s="2" t="inlineStr">
        <is>
          <t>Leap-day fix hard-coded to 2024 only (drops the +1 day when the period covers Feb 2024). Other leap years (e.g. 2028) not handled.</t>
        </is>
      </c>
    </row>
    <row r="151">
      <c r="A151" s="2" t="inlineStr">
        <is>
          <t>R150</t>
        </is>
      </c>
      <c r="B151" s="2" t="n">
        <v>11</v>
      </c>
      <c r="C151" s="2" t="inlineStr">
        <is>
          <t>Section C – Non-individuals</t>
        </is>
      </c>
      <c r="D151" s="2" t="inlineStr">
        <is>
          <t>189</t>
        </is>
      </c>
      <c r="E151" s="2" t="inlineStr">
        <is>
          <t>Page11.C189</t>
        </is>
      </c>
      <c r="F151" s="2" t="inlineStr">
        <is>
          <t>Calculation (locked)</t>
        </is>
      </c>
      <c r="G151" s="2">
        <f> lower of 187 and 188 (Company only)</f>
        <v/>
      </c>
      <c r="H151" s="2" t="inlineStr"/>
      <c r="I151" s="2" t="inlineStr">
        <is>
          <t>Yes</t>
        </is>
      </c>
      <c r="J151" s="2" t="inlineStr"/>
    </row>
    <row r="152">
      <c r="A152" s="2" t="inlineStr">
        <is>
          <t>R151</t>
        </is>
      </c>
      <c r="B152" s="2" t="n">
        <v>11</v>
      </c>
      <c r="C152" s="2" t="inlineStr">
        <is>
          <t>Section C – Non-individuals</t>
        </is>
      </c>
      <c r="D152" s="2" t="inlineStr">
        <is>
          <t>190</t>
        </is>
      </c>
      <c r="E152" s="2" t="inlineStr">
        <is>
          <t>Page11.C190</t>
        </is>
      </c>
      <c r="F152" s="2" t="inlineStr">
        <is>
          <t>Calculation (locked)</t>
        </is>
      </c>
      <c r="G152" s="2">
        <f> 187 − 188, floor 0 (Company only)</f>
        <v/>
      </c>
      <c r="H152" s="2" t="inlineStr"/>
      <c r="I152" s="2" t="inlineStr">
        <is>
          <t>Yes</t>
        </is>
      </c>
      <c r="J152" s="2" t="inlineStr"/>
    </row>
    <row r="153">
      <c r="A153" s="2" t="inlineStr">
        <is>
          <t>R152</t>
        </is>
      </c>
      <c r="B153" s="2" t="n">
        <v>11</v>
      </c>
      <c r="C153" s="2" t="inlineStr">
        <is>
          <t>Section C – Non-individuals</t>
        </is>
      </c>
      <c r="D153" s="2" t="inlineStr">
        <is>
          <t>191</t>
        </is>
      </c>
      <c r="E153" s="2" t="inlineStr">
        <is>
          <t>Page11.C191</t>
        </is>
      </c>
      <c r="F153" s="2" t="inlineStr">
        <is>
          <t>Calculation (locked)</t>
        </is>
      </c>
      <c r="G153" s="2">
        <f> ROUND(190 × 15%, 2)</f>
        <v/>
      </c>
      <c r="H153" s="2" t="inlineStr">
        <is>
          <t>Multiply Box 190 by 0.15</t>
        </is>
      </c>
      <c r="I153" s="2" t="inlineStr">
        <is>
          <t>Yes</t>
        </is>
      </c>
      <c r="J153" s="2" t="inlineStr">
        <is>
          <t>→ Box A.</t>
        </is>
      </c>
    </row>
    <row r="154">
      <c r="A154" s="2" t="inlineStr">
        <is>
          <t>R153</t>
        </is>
      </c>
      <c r="B154" s="2" t="n">
        <v>11</v>
      </c>
      <c r="C154" s="2" t="inlineStr">
        <is>
          <t>Section C – Individuals</t>
        </is>
      </c>
      <c r="D154" s="2" t="inlineStr">
        <is>
          <t>192</t>
        </is>
      </c>
      <c r="E154" s="2" t="inlineStr">
        <is>
          <t>Page11.C192</t>
        </is>
      </c>
      <c r="F154" s="2" t="inlineStr">
        <is>
          <t>Calculation (locked)</t>
        </is>
      </c>
      <c r="G154" s="2" t="inlineStr">
        <is>
          <t>If Individual: = Box 56 if &gt; 0, else Box 186. Otherwise 0.</t>
        </is>
      </c>
      <c r="H154" s="2" t="inlineStr"/>
      <c r="I154" s="2" t="inlineStr">
        <is>
          <t>Yes</t>
        </is>
      </c>
      <c r="J154" s="2" t="inlineStr"/>
    </row>
    <row r="155">
      <c r="A155" s="2" t="inlineStr">
        <is>
          <t>R154</t>
        </is>
      </c>
      <c r="B155" s="2" t="n">
        <v>12</v>
      </c>
      <c r="C155" s="2" t="inlineStr">
        <is>
          <t>Section C – Individuals</t>
        </is>
      </c>
      <c r="D155" s="2" t="inlineStr">
        <is>
          <t>Bracket A (0%)</t>
        </is>
      </c>
      <c r="E155" s="2" t="inlineStr">
        <is>
          <t>Page12.AA</t>
        </is>
      </c>
      <c r="F155" s="2" t="inlineStr">
        <is>
          <t>Calculation (locked)</t>
        </is>
      </c>
      <c r="G155" s="2" t="inlineStr">
        <is>
          <t>Note 5 formula with annual m = MVR 720,000 (monthly r = 60,000); USD 46,692.61 / 3,891.05.</t>
        </is>
      </c>
      <c r="H155" s="2" t="inlineStr">
        <is>
          <t>Note 5</t>
        </is>
      </c>
      <c r="I155" s="2" t="inlineStr">
        <is>
          <t>Yes</t>
        </is>
      </c>
      <c r="J155" s="2" t="inlineStr">
        <is>
          <t>See bracket-formula defects below.</t>
        </is>
      </c>
    </row>
    <row r="156">
      <c r="A156" s="2" t="inlineStr">
        <is>
          <t>R155</t>
        </is>
      </c>
      <c r="B156" s="2" t="n">
        <v>12</v>
      </c>
      <c r="C156" s="2" t="inlineStr">
        <is>
          <t>Section C – Individuals</t>
        </is>
      </c>
      <c r="D156" s="2" t="inlineStr">
        <is>
          <t>Bracket B (5.5%)</t>
        </is>
      </c>
      <c r="E156" s="2" t="inlineStr">
        <is>
          <t>Page12.AB</t>
        </is>
      </c>
      <c r="F156" s="2" t="inlineStr">
        <is>
          <t>Calculation (locked)</t>
        </is>
      </c>
      <c r="G156" s="2" t="inlineStr">
        <is>
          <t>Note 5 formula with m = MVR 480,000 (r = 40,000); USD 31,128.41 / 2,594.03.</t>
        </is>
      </c>
      <c r="H156" s="2" t="inlineStr"/>
      <c r="I156" s="2" t="inlineStr">
        <is>
          <t>Yes</t>
        </is>
      </c>
      <c r="J156" s="2" t="inlineStr"/>
    </row>
    <row r="157">
      <c r="A157" s="2" t="inlineStr">
        <is>
          <t>R156</t>
        </is>
      </c>
      <c r="B157" s="2" t="n">
        <v>12</v>
      </c>
      <c r="C157" s="2" t="inlineStr">
        <is>
          <t>Section C – Individuals</t>
        </is>
      </c>
      <c r="D157" s="2" t="inlineStr">
        <is>
          <t>Bracket C (8%)</t>
        </is>
      </c>
      <c r="E157" s="2" t="inlineStr">
        <is>
          <t>Page12.AC</t>
        </is>
      </c>
      <c r="F157" s="2" t="inlineStr">
        <is>
          <t>Calculation (locked)</t>
        </is>
      </c>
      <c r="G157" s="2" t="inlineStr">
        <is>
          <t>Note 5 formula with m = MVR 600,000 (r = 50,000); USD 38,910.51 / 3,242.54.</t>
        </is>
      </c>
      <c r="H157" s="2" t="inlineStr"/>
      <c r="I157" s="2" t="inlineStr">
        <is>
          <t>Yes</t>
        </is>
      </c>
      <c r="J157" s="2" t="inlineStr"/>
    </row>
    <row r="158">
      <c r="A158" s="2" t="inlineStr">
        <is>
          <t>R157</t>
        </is>
      </c>
      <c r="B158" s="2" t="n">
        <v>12</v>
      </c>
      <c r="C158" s="2" t="inlineStr">
        <is>
          <t>Section C – Individuals</t>
        </is>
      </c>
      <c r="D158" s="2" t="inlineStr">
        <is>
          <t>Bracket D (12%)</t>
        </is>
      </c>
      <c r="E158" s="2" t="inlineStr">
        <is>
          <t>Page12.AD</t>
        </is>
      </c>
      <c r="F158" s="2" t="inlineStr">
        <is>
          <t>Calculation (locked)</t>
        </is>
      </c>
      <c r="G158" s="2" t="inlineStr">
        <is>
          <t>Note 5 formula with m = MVR 600,000 (r = 50,000); USD 38,910.51 / 3,242.54.</t>
        </is>
      </c>
      <c r="H158" s="2" t="inlineStr"/>
      <c r="I158" s="2" t="inlineStr">
        <is>
          <t>Yes</t>
        </is>
      </c>
      <c r="J158" s="2" t="inlineStr"/>
    </row>
    <row r="159">
      <c r="A159" s="2" t="inlineStr">
        <is>
          <t>R158</t>
        </is>
      </c>
      <c r="B159" s="2" t="n">
        <v>12</v>
      </c>
      <c r="C159" s="2" t="inlineStr">
        <is>
          <t>Section C – Individuals</t>
        </is>
      </c>
      <c r="D159" s="2" t="inlineStr">
        <is>
          <t>Note 5 brackets – month count</t>
        </is>
      </c>
      <c r="E159" s="2" t="inlineStr">
        <is>
          <t>Page12.AA–AD</t>
        </is>
      </c>
      <c r="F159" s="2" t="inlineStr">
        <is>
          <t>Defect</t>
        </is>
      </c>
      <c r="G159" s="2" t="inlineStr">
        <is>
          <t>n = end month − start month + 1. Uses month numbers only, ignoring year.</t>
        </is>
      </c>
      <c r="H159" s="2" t="inlineStr">
        <is>
          <t>n = number of months in accounting period</t>
        </is>
      </c>
      <c r="I159" s="2" t="inlineStr">
        <is>
          <t>No</t>
        </is>
      </c>
      <c r="J159" s="2" t="inlineStr">
        <is>
          <t>A period crossing a year end (e.g. Jul 2025–Jun 2026) gives n = 0 or negative, so the brackets come out wrong and too much income falls into 15%. Only correct for periods inside one calendar year.</t>
        </is>
      </c>
    </row>
    <row r="160">
      <c r="A160" s="2" t="inlineStr">
        <is>
          <t>R159</t>
        </is>
      </c>
      <c r="B160" s="2" t="n">
        <v>12</v>
      </c>
      <c r="C160" s="2" t="inlineStr">
        <is>
          <t>Section C – Individuals</t>
        </is>
      </c>
      <c r="D160" s="2" t="inlineStr">
        <is>
          <t>Note 5 brackets – month length</t>
        </is>
      </c>
      <c r="E160" s="2" t="inlineStr">
        <is>
          <t>Page12.AA–AD</t>
        </is>
      </c>
      <c r="F160" s="2" t="inlineStr">
        <is>
          <t>Defect</t>
        </is>
      </c>
      <c r="G160" s="2" t="inlineStr">
        <is>
          <t>February always treated as 28 days. Month lengths for p/q and s/t are based on the start-month / end-month.</t>
        </is>
      </c>
      <c r="H160" s="2" t="inlineStr"/>
      <c r="I160" s="2" t="inlineStr">
        <is>
          <t>No</t>
        </is>
      </c>
      <c r="J160" s="2" t="inlineStr">
        <is>
          <t>Leap-year February periods are slightly off.</t>
        </is>
      </c>
    </row>
    <row r="161">
      <c r="A161" s="2" t="inlineStr">
        <is>
          <t>R160</t>
        </is>
      </c>
      <c r="B161" s="2" t="n">
        <v>12</v>
      </c>
      <c r="C161" s="2" t="inlineStr">
        <is>
          <t>Section C – Individuals</t>
        </is>
      </c>
      <c r="D161" s="2" t="inlineStr">
        <is>
          <t>193, 195, 197, 199</t>
        </is>
      </c>
      <c r="E161" s="2" t="inlineStr">
        <is>
          <t>Page12.C193…C199</t>
        </is>
      </c>
      <c r="F161" s="2" t="inlineStr">
        <is>
          <t>Calculation (locked)</t>
        </is>
      </c>
      <c r="G161" s="2" t="inlineStr">
        <is>
          <t>Fills brackets in order 0% → 5.5% → 8% → 12%, each capped at bracket size A/B/C/D.</t>
        </is>
      </c>
      <c r="H161" s="2" t="inlineStr">
        <is>
          <t>Fill each bracket from 0% in order; must not exceed bracket size</t>
        </is>
      </c>
      <c r="I161" s="2" t="inlineStr">
        <is>
          <t>Yes</t>
        </is>
      </c>
      <c r="J161" s="2" t="inlineStr">
        <is>
          <t>Enforces the printed instruction.</t>
        </is>
      </c>
    </row>
    <row r="162">
      <c r="A162" s="2" t="inlineStr">
        <is>
          <t>R161</t>
        </is>
      </c>
      <c r="B162" s="2" t="n">
        <v>12</v>
      </c>
      <c r="C162" s="2" t="inlineStr">
        <is>
          <t>Section C – Individuals</t>
        </is>
      </c>
      <c r="D162" s="2" t="inlineStr">
        <is>
          <t>201</t>
        </is>
      </c>
      <c r="E162" s="2" t="inlineStr">
        <is>
          <t>Page12.C201</t>
        </is>
      </c>
      <c r="F162" s="2" t="inlineStr">
        <is>
          <t>Calculation (locked)</t>
        </is>
      </c>
      <c r="G162" s="2">
        <f> 192 − (193 + 195 + 197 + 199), floor 0</f>
        <v/>
      </c>
      <c r="H162" s="2" t="inlineStr"/>
      <c r="I162" s="2" t="inlineStr">
        <is>
          <t>Yes</t>
        </is>
      </c>
      <c r="J162" s="2" t="inlineStr">
        <is>
          <t>Taxed at 15%.</t>
        </is>
      </c>
    </row>
    <row r="163">
      <c r="A163" s="2" t="inlineStr">
        <is>
          <t>R162</t>
        </is>
      </c>
      <c r="B163" s="2" t="n">
        <v>12</v>
      </c>
      <c r="C163" s="2" t="inlineStr">
        <is>
          <t>Section C – Individuals</t>
        </is>
      </c>
      <c r="D163" s="2" t="inlineStr">
        <is>
          <t>194</t>
        </is>
      </c>
      <c r="E163" s="2" t="inlineStr">
        <is>
          <t>Page12 (static)</t>
        </is>
      </c>
      <c r="F163" s="2" t="inlineStr">
        <is>
          <t>Fixed value</t>
        </is>
      </c>
      <c r="G163" s="2" t="inlineStr">
        <is>
          <t>Printed 0. No field.</t>
        </is>
      </c>
      <c r="H163" s="2" t="inlineStr"/>
      <c r="I163" s="2" t="inlineStr">
        <is>
          <t>Yes</t>
        </is>
      </c>
      <c r="J163" s="2" t="inlineStr"/>
    </row>
    <row r="164">
      <c r="A164" s="2" t="inlineStr">
        <is>
          <t>R163</t>
        </is>
      </c>
      <c r="B164" s="2" t="n">
        <v>12</v>
      </c>
      <c r="C164" s="2" t="inlineStr">
        <is>
          <t>Section C – Individuals</t>
        </is>
      </c>
      <c r="D164" s="2" t="inlineStr">
        <is>
          <t>196, 198, 200, 202</t>
        </is>
      </c>
      <c r="E164" s="2" t="inlineStr">
        <is>
          <t>Page12.C196…C202</t>
        </is>
      </c>
      <c r="F164" s="2" t="inlineStr">
        <is>
          <t>Calculation (locked)</t>
        </is>
      </c>
      <c r="G164" s="2" t="inlineStr">
        <is>
          <t>ROUND at 5.5%, 8%, 12%, 15%</t>
        </is>
      </c>
      <c r="H164" s="2" t="inlineStr"/>
      <c r="I164" s="2" t="inlineStr">
        <is>
          <t>Yes</t>
        </is>
      </c>
      <c r="J164" s="2" t="inlineStr"/>
    </row>
    <row r="165">
      <c r="A165" s="2" t="inlineStr">
        <is>
          <t>R164</t>
        </is>
      </c>
      <c r="B165" s="2" t="n">
        <v>12</v>
      </c>
      <c r="C165" s="2" t="inlineStr">
        <is>
          <t>Section C – Individuals</t>
        </is>
      </c>
      <c r="D165" s="2" t="inlineStr">
        <is>
          <t>203</t>
        </is>
      </c>
      <c r="E165" s="2" t="inlineStr">
        <is>
          <t>Page12.C203</t>
        </is>
      </c>
      <c r="F165" s="2" t="inlineStr">
        <is>
          <t>Calculation (locked)</t>
        </is>
      </c>
      <c r="G165" s="2">
        <f> 196 + 198 + 200 + 202</f>
        <v/>
      </c>
      <c r="H165" s="2" t="inlineStr"/>
      <c r="I165" s="2" t="inlineStr">
        <is>
          <t>Yes</t>
        </is>
      </c>
      <c r="J165" s="2" t="inlineStr">
        <is>
          <t>→ Box A.</t>
        </is>
      </c>
    </row>
    <row r="166">
      <c r="A166" s="2" t="inlineStr">
        <is>
          <t>R165</t>
        </is>
      </c>
      <c r="B166" s="2" t="n">
        <v>12</v>
      </c>
      <c r="C166" s="2" t="inlineStr">
        <is>
          <t>Section C – 11(r)</t>
        </is>
      </c>
      <c r="D166" s="2" t="inlineStr">
        <is>
          <t>204</t>
        </is>
      </c>
      <c r="E166" s="2" t="inlineStr">
        <is>
          <t>Page12.C204</t>
        </is>
      </c>
      <c r="F166" s="2" t="inlineStr">
        <is>
          <t>Single choice + conditional lock</t>
        </is>
      </c>
      <c r="G166" s="2" t="inlineStr">
        <is>
          <t>Bangladesh DTAA Art. 8: Yes (1) → Box 209 locked at 0, Box 213 at 1%; No → Box 209 open, Box 213 at 2%.</t>
        </is>
      </c>
      <c r="H166" s="2" t="inlineStr">
        <is>
          <t>Enter zero in Box 209 if Yes</t>
        </is>
      </c>
      <c r="I166" s="2" t="inlineStr">
        <is>
          <t>Yes</t>
        </is>
      </c>
      <c r="J166" s="2" t="inlineStr"/>
    </row>
    <row r="167">
      <c r="A167" s="2" t="inlineStr">
        <is>
          <t>R166</t>
        </is>
      </c>
      <c r="B167" s="2" t="n">
        <v>12</v>
      </c>
      <c r="C167" s="2" t="inlineStr">
        <is>
          <t>Section C – 11(r)</t>
        </is>
      </c>
      <c r="D167" s="2" t="inlineStr">
        <is>
          <t>205–210</t>
        </is>
      </c>
      <c r="E167" s="2" t="inlineStr">
        <is>
          <t>Page12.C205–C210</t>
        </is>
      </c>
      <c r="F167" s="2" t="inlineStr">
        <is>
          <t>Input format</t>
        </is>
      </c>
      <c r="G167" s="2" t="inlineStr">
        <is>
          <t>Manual. Open only if 'Non-resident shipping/aircraft operator' ticked.</t>
        </is>
      </c>
      <c r="H167" s="2" t="inlineStr"/>
      <c r="I167" s="2" t="inlineStr">
        <is>
          <t>Yes</t>
        </is>
      </c>
      <c r="J167" s="2" t="inlineStr"/>
    </row>
    <row r="168">
      <c r="A168" s="2" t="inlineStr">
        <is>
          <t>R167</t>
        </is>
      </c>
      <c r="B168" s="2" t="n">
        <v>12</v>
      </c>
      <c r="C168" s="2" t="inlineStr">
        <is>
          <t>Section C – 11(r)</t>
        </is>
      </c>
      <c r="D168" s="2" t="inlineStr">
        <is>
          <t>205/206 → Schedule 1</t>
        </is>
      </c>
      <c r="E168" s="2" t="inlineStr">
        <is>
          <t>Page12.C205, C206 (exit)</t>
        </is>
      </c>
      <c r="F168" s="2" t="inlineStr">
        <is>
          <t>Calculation</t>
        </is>
      </c>
      <c r="G168" s="2" t="inlineStr">
        <is>
          <t>If shipping operator AND Section VIII = Yes: Schedule 1 Box 1 = 205 + 206 and is locked.</t>
        </is>
      </c>
      <c r="H168" s="2" t="inlineStr"/>
      <c r="I168" s="2" t="inlineStr">
        <is>
          <t>Partly</t>
        </is>
      </c>
      <c r="J168" s="2" t="inlineStr">
        <is>
          <t>Unlock branch uses '==' so Schedule 1 Box 1 never unlocks again in the same session.</t>
        </is>
      </c>
    </row>
    <row r="169">
      <c r="A169" s="2" t="inlineStr">
        <is>
          <t>R168</t>
        </is>
      </c>
      <c r="B169" s="2" t="n">
        <v>12</v>
      </c>
      <c r="C169" s="2" t="inlineStr">
        <is>
          <t>Section C – 11(r)</t>
        </is>
      </c>
      <c r="D169" s="2" t="inlineStr">
        <is>
          <t>211</t>
        </is>
      </c>
      <c r="E169" s="2" t="inlineStr">
        <is>
          <t>Page12.C211</t>
        </is>
      </c>
      <c r="F169" s="2" t="inlineStr">
        <is>
          <t>Calculation (locked)</t>
        </is>
      </c>
      <c r="G169" s="2">
        <f> 205 − 207 − 209</f>
        <v/>
      </c>
      <c r="H169" s="2" t="inlineStr"/>
      <c r="I169" s="2" t="inlineStr">
        <is>
          <t>Yes</t>
        </is>
      </c>
      <c r="J169" s="2" t="inlineStr"/>
    </row>
    <row r="170">
      <c r="A170" s="2" t="inlineStr">
        <is>
          <t>R169</t>
        </is>
      </c>
      <c r="B170" s="2" t="n">
        <v>12</v>
      </c>
      <c r="C170" s="2" t="inlineStr">
        <is>
          <t>Section C – 11(r)</t>
        </is>
      </c>
      <c r="D170" s="2" t="inlineStr">
        <is>
          <t>212</t>
        </is>
      </c>
      <c r="E170" s="2" t="inlineStr">
        <is>
          <t>Page12.C212</t>
        </is>
      </c>
      <c r="F170" s="2" t="inlineStr">
        <is>
          <t>Calculation (locked)</t>
        </is>
      </c>
      <c r="G170" s="2">
        <f> 206 − 208 − 210</f>
        <v/>
      </c>
      <c r="H170" s="2" t="inlineStr"/>
      <c r="I170" s="2" t="inlineStr">
        <is>
          <t>Yes</t>
        </is>
      </c>
      <c r="J170" s="2" t="inlineStr"/>
    </row>
    <row r="171">
      <c r="A171" s="2" t="inlineStr">
        <is>
          <t>R170</t>
        </is>
      </c>
      <c r="B171" s="2" t="n">
        <v>12</v>
      </c>
      <c r="C171" s="2" t="inlineStr">
        <is>
          <t>Section C – 11(r)</t>
        </is>
      </c>
      <c r="D171" s="2" t="inlineStr">
        <is>
          <t>213</t>
        </is>
      </c>
      <c r="E171" s="2" t="inlineStr">
        <is>
          <t>Page12.C213</t>
        </is>
      </c>
      <c r="F171" s="2" t="inlineStr">
        <is>
          <t>Calculation (locked)</t>
        </is>
      </c>
      <c r="G171" s="2">
        <f> ROUND(211 × 1%, 2) if 204 = Yes, else × 2%</f>
        <v/>
      </c>
      <c r="H171" s="2" t="inlineStr"/>
      <c r="I171" s="2" t="inlineStr">
        <is>
          <t>Yes</t>
        </is>
      </c>
      <c r="J171" s="2" t="inlineStr"/>
    </row>
    <row r="172">
      <c r="A172" s="2" t="inlineStr">
        <is>
          <t>R171</t>
        </is>
      </c>
      <c r="B172" s="2" t="n">
        <v>12</v>
      </c>
      <c r="C172" s="2" t="inlineStr">
        <is>
          <t>Section C – 11(r)</t>
        </is>
      </c>
      <c r="D172" s="2" t="inlineStr">
        <is>
          <t>214</t>
        </is>
      </c>
      <c r="E172" s="2" t="inlineStr">
        <is>
          <t>Page12.C214</t>
        </is>
      </c>
      <c r="F172" s="2" t="inlineStr">
        <is>
          <t>Calculation (locked)</t>
        </is>
      </c>
      <c r="G172" s="2">
        <f> ROUND(212 × 2%, 2)</f>
        <v/>
      </c>
      <c r="H172" s="2" t="inlineStr"/>
      <c r="I172" s="2" t="inlineStr">
        <is>
          <t>Yes</t>
        </is>
      </c>
      <c r="J172" s="2" t="inlineStr"/>
    </row>
    <row r="173">
      <c r="A173" s="2" t="inlineStr">
        <is>
          <t>R172</t>
        </is>
      </c>
      <c r="B173" s="2" t="n">
        <v>12</v>
      </c>
      <c r="C173" s="2" t="inlineStr">
        <is>
          <t>Section C – 11(r)</t>
        </is>
      </c>
      <c r="D173" s="2" t="inlineStr">
        <is>
          <t>215</t>
        </is>
      </c>
      <c r="E173" s="2" t="inlineStr">
        <is>
          <t>Page12.C215</t>
        </is>
      </c>
      <c r="F173" s="2" t="inlineStr">
        <is>
          <t>Calculation (locked)</t>
        </is>
      </c>
      <c r="G173" s="2">
        <f> 213 + 214</f>
        <v/>
      </c>
      <c r="H173" s="2" t="inlineStr"/>
      <c r="I173" s="2" t="inlineStr">
        <is>
          <t>Yes</t>
        </is>
      </c>
      <c r="J173" s="2" t="inlineStr">
        <is>
          <t>→ Box D.</t>
        </is>
      </c>
    </row>
    <row r="174">
      <c r="A174" s="2" t="inlineStr">
        <is>
          <t>R173</t>
        </is>
      </c>
      <c r="B174" s="2" t="n">
        <v>13</v>
      </c>
      <c r="C174" s="2" t="inlineStr">
        <is>
          <t>Capital allowance</t>
        </is>
      </c>
      <c r="D174" s="2" t="inlineStr">
        <is>
          <t>Rows 1–14, cols 2–7</t>
        </is>
      </c>
      <c r="E174" s="2" t="inlineStr">
        <is>
          <t>Page13.CAxy</t>
        </is>
      </c>
      <c r="F174" s="2" t="inlineStr">
        <is>
          <t>Input format</t>
        </is>
      </c>
      <c r="G174" s="2" t="inlineStr">
        <is>
          <t>All cells manual numeric. Rates (4%–33⅓%) are printed only.</t>
        </is>
      </c>
      <c r="H174" s="2" t="inlineStr">
        <is>
          <t>Col 3 = col 1 × col 2; col 6 = 2 − 4 − 5 (min 0); col 7 = lower of 3 and 6</t>
        </is>
      </c>
      <c r="I174" s="2" t="inlineStr">
        <is>
          <t>No</t>
        </is>
      </c>
      <c r="J174" s="2" t="inlineStr">
        <is>
          <t>No row calculations: columns 3, 6 and 7 are not computed, capped or checked. Only the col-7 TOTAL is auto-summed.</t>
        </is>
      </c>
    </row>
    <row r="175">
      <c r="A175" s="2" t="inlineStr">
        <is>
          <t>R174</t>
        </is>
      </c>
      <c r="B175" s="2" t="n">
        <v>13</v>
      </c>
      <c r="C175" s="2" t="inlineStr">
        <is>
          <t>Capital allowance</t>
        </is>
      </c>
      <c r="D175" s="2" t="inlineStr">
        <is>
          <t>TOTAL</t>
        </is>
      </c>
      <c r="E175" s="2" t="inlineStr">
        <is>
          <t>Page13.CATotal</t>
        </is>
      </c>
      <c r="F175" s="2" t="inlineStr">
        <is>
          <t>Calculation (locked)</t>
        </is>
      </c>
      <c r="G175" s="2">
        <f> sum of column 7, rows 1–14</f>
        <v/>
      </c>
      <c r="H175" s="2" t="inlineStr"/>
      <c r="I175" s="2" t="inlineStr">
        <is>
          <t>Yes</t>
        </is>
      </c>
      <c r="J175" s="2" t="inlineStr">
        <is>
          <t>→ Box 92.</t>
        </is>
      </c>
    </row>
    <row r="176">
      <c r="A176" s="2" t="inlineStr">
        <is>
          <t>R175</t>
        </is>
      </c>
      <c r="B176" s="2" t="n">
        <v>14</v>
      </c>
      <c r="C176" s="2" t="inlineStr">
        <is>
          <t>Balancing allowance/charge</t>
        </is>
      </c>
      <c r="D176" s="2" t="inlineStr">
        <is>
          <t>Rows 1–14, cols 8–14.2</t>
        </is>
      </c>
      <c r="E176" s="2" t="inlineStr">
        <is>
          <t>Page14.CBxy, Cx141, Cx142</t>
        </is>
      </c>
      <c r="F176" s="2" t="inlineStr">
        <is>
          <t>Input format</t>
        </is>
      </c>
      <c r="G176" s="2" t="inlineStr">
        <is>
          <t>All cells manual numeric.</t>
        </is>
      </c>
      <c r="H176" s="2" t="inlineStr">
        <is>
          <t>Col 10 = 8 − 9; col 12 = 11 − 10; col 13 = 11 − 8 (min 0); col 14 rules</t>
        </is>
      </c>
      <c r="I176" s="2" t="inlineStr">
        <is>
          <t>No</t>
        </is>
      </c>
      <c r="J176" s="2" t="inlineStr">
        <is>
          <t>No row calculations or sign checks. Enter col 14.2 as negative (it is × −1 into Box 93).</t>
        </is>
      </c>
    </row>
    <row r="177">
      <c r="A177" s="2" t="inlineStr">
        <is>
          <t>R176</t>
        </is>
      </c>
      <c r="B177" s="2" t="n">
        <v>14</v>
      </c>
      <c r="C177" s="2" t="inlineStr">
        <is>
          <t>Balancing allowance/charge</t>
        </is>
      </c>
      <c r="D177" s="2" t="inlineStr">
        <is>
          <t>TOTAL 14.1 / 14.2</t>
        </is>
      </c>
      <c r="E177" s="2" t="inlineStr">
        <is>
          <t>Page14.C141Total, C142Total</t>
        </is>
      </c>
      <c r="F177" s="2" t="inlineStr">
        <is>
          <t>Calculation (locked)</t>
        </is>
      </c>
      <c r="G177" s="2" t="inlineStr">
        <is>
          <t>Sum of col 14.1 and of col 14.2, rows 1–14</t>
        </is>
      </c>
      <c r="H177" s="2" t="inlineStr"/>
      <c r="I177" s="2" t="inlineStr">
        <is>
          <t>Yes</t>
        </is>
      </c>
      <c r="J177" s="2" t="inlineStr">
        <is>
          <t>14.1 → Box 86; 14.2 → Box 93.</t>
        </is>
      </c>
    </row>
    <row r="178">
      <c r="A178" s="2" t="inlineStr">
        <is>
          <t>R177</t>
        </is>
      </c>
      <c r="B178" s="2" t="n">
        <v>15</v>
      </c>
      <c r="C178" s="2" t="inlineStr">
        <is>
          <t>Donations</t>
        </is>
      </c>
      <c r="D178" s="2" t="inlineStr">
        <is>
          <t>Date of donation</t>
        </is>
      </c>
      <c r="E178" s="2" t="inlineStr">
        <is>
          <t>Page15.DateTimeFieldN</t>
        </is>
      </c>
      <c r="F178" s="2" t="inlineStr">
        <is>
          <t>Validation (error)</t>
        </is>
      </c>
      <c r="G178" s="2" t="inlineStr">
        <is>
          <t>Date must match DDMMYYYY. Wrong format → error 'Enter date in the format "DDMMYYYY"'. Displays as DD/MM/YYYY.</t>
        </is>
      </c>
      <c r="H178" s="2" t="inlineStr"/>
      <c r="I178" s="2" t="inlineStr">
        <is>
          <t>Yes</t>
        </is>
      </c>
      <c r="J178" s="2" t="inlineStr">
        <is>
          <t>The only box in the form with a hard error message. Date not checked to fall within the accounting period.</t>
        </is>
      </c>
    </row>
    <row r="179">
      <c r="A179" s="2" t="inlineStr">
        <is>
          <t>R178</t>
        </is>
      </c>
      <c r="B179" s="2" t="n">
        <v>15</v>
      </c>
      <c r="C179" s="2" t="inlineStr">
        <is>
          <t>Donations</t>
        </is>
      </c>
      <c r="D179" s="2" t="inlineStr">
        <is>
          <t>Name of donee / Details</t>
        </is>
      </c>
      <c r="E179" s="2" t="inlineStr">
        <is>
          <t>Page15.TextField2 / TextField3</t>
        </is>
      </c>
      <c r="F179" s="2" t="inlineStr">
        <is>
          <t>Input format</t>
        </is>
      </c>
      <c r="G179" s="2" t="inlineStr">
        <is>
          <t>Text: name max 30 chars, details max 50 chars.</t>
        </is>
      </c>
      <c r="H179" s="2" t="inlineStr">
        <is>
          <t>Body approved by MIRA</t>
        </is>
      </c>
      <c r="I179" s="2" t="inlineStr">
        <is>
          <t>Partly</t>
        </is>
      </c>
      <c r="J179" s="2" t="inlineStr">
        <is>
          <t>Not checked against MIRA's approved list.</t>
        </is>
      </c>
    </row>
    <row r="180">
      <c r="A180" s="2" t="inlineStr">
        <is>
          <t>R179</t>
        </is>
      </c>
      <c r="B180" s="2" t="n">
        <v>15</v>
      </c>
      <c r="C180" s="2" t="inlineStr">
        <is>
          <t>Donations</t>
        </is>
      </c>
      <c r="D180" s="2" t="inlineStr">
        <is>
          <t>Amount rows 1–15</t>
        </is>
      </c>
      <c r="E180" s="2" t="inlineStr">
        <is>
          <t>Page15.DO1–DO15</t>
        </is>
      </c>
      <c r="F180" s="2" t="inlineStr">
        <is>
          <t>Input format</t>
        </is>
      </c>
      <c r="G180" s="2" t="inlineStr">
        <is>
          <t>Manual numeric.</t>
        </is>
      </c>
      <c r="H180" s="2" t="inlineStr">
        <is>
          <t>Only money donations; hold receipts</t>
        </is>
      </c>
      <c r="I180" s="2" t="inlineStr">
        <is>
          <t>No</t>
        </is>
      </c>
      <c r="J180" s="2" t="inlineStr"/>
    </row>
    <row r="181">
      <c r="A181" s="2" t="inlineStr">
        <is>
          <t>R180</t>
        </is>
      </c>
      <c r="B181" s="2" t="n">
        <v>15</v>
      </c>
      <c r="C181" s="2" t="inlineStr">
        <is>
          <t>Donations</t>
        </is>
      </c>
      <c r="D181" s="2" t="inlineStr">
        <is>
          <t>TOTAL</t>
        </is>
      </c>
      <c r="E181" s="2" t="inlineStr">
        <is>
          <t>Page15.DO16</t>
        </is>
      </c>
      <c r="F181" s="2" t="inlineStr">
        <is>
          <t>Calculation (locked)</t>
        </is>
      </c>
      <c r="G181" s="2">
        <f> DO1 + … + DO15</f>
        <v/>
      </c>
      <c r="H181" s="2" t="inlineStr"/>
      <c r="I181" s="2" t="inlineStr">
        <is>
          <t>Yes</t>
        </is>
      </c>
      <c r="J181" s="2" t="inlineStr">
        <is>
          <t>→ Box 27 and Box 155 (both filled at once).</t>
        </is>
      </c>
    </row>
    <row r="182">
      <c r="A182" s="2" t="inlineStr">
        <is>
          <t>R181</t>
        </is>
      </c>
      <c r="B182" s="2" t="n">
        <v>16</v>
      </c>
      <c r="C182" s="2" t="inlineStr">
        <is>
          <t>Sponsorships – teams</t>
        </is>
      </c>
      <c r="D182" s="2" t="inlineStr">
        <is>
          <t>Nature of the sport</t>
        </is>
      </c>
      <c r="E182" s="2" t="inlineStr">
        <is>
          <t>Page16.natureofSports1–3</t>
        </is>
      </c>
      <c r="F182" s="2" t="inlineStr">
        <is>
          <t>Dropdown</t>
        </is>
      </c>
      <c r="G182" s="2" t="inlineStr">
        <is>
          <t>List: Competitive / Social.</t>
        </is>
      </c>
      <c r="H182" s="2" t="inlineStr"/>
      <c r="I182" s="2" t="inlineStr">
        <is>
          <t>Yes</t>
        </is>
      </c>
      <c r="J182" s="2" t="inlineStr"/>
    </row>
    <row r="183">
      <c r="A183" s="2" t="inlineStr">
        <is>
          <t>R182</t>
        </is>
      </c>
      <c r="B183" s="2" t="n">
        <v>16</v>
      </c>
      <c r="C183" s="2" t="inlineStr">
        <is>
          <t>Sponsorships</t>
        </is>
      </c>
      <c r="D183" s="2" t="inlineStr">
        <is>
          <t>Team / event / venue / media / broadcaster names</t>
        </is>
      </c>
      <c r="E183" s="2" t="inlineStr">
        <is>
          <t>Page16.*</t>
        </is>
      </c>
      <c r="F183" s="2" t="inlineStr">
        <is>
          <t>Input format</t>
        </is>
      </c>
      <c r="G183" s="2" t="inlineStr">
        <is>
          <t>Text, max 30 characters each.</t>
        </is>
      </c>
      <c r="H183" s="2" t="inlineStr"/>
      <c r="I183" s="2" t="inlineStr">
        <is>
          <t>Partly</t>
        </is>
      </c>
      <c r="J183" s="2" t="inlineStr"/>
    </row>
    <row r="184">
      <c r="A184" s="2" t="inlineStr">
        <is>
          <t>R183</t>
        </is>
      </c>
      <c r="B184" s="2" t="n">
        <v>16</v>
      </c>
      <c r="C184" s="2" t="inlineStr">
        <is>
          <t>Sponsorships</t>
        </is>
      </c>
      <c r="D184" s="2" t="inlineStr">
        <is>
          <t>Dates</t>
        </is>
      </c>
      <c r="E184" s="2" t="inlineStr">
        <is>
          <t>Page16.DateofCompetEvent*, DateofPayment*</t>
        </is>
      </c>
      <c r="F184" s="2" t="inlineStr">
        <is>
          <t>Input format</t>
        </is>
      </c>
      <c r="G184" s="2" t="inlineStr">
        <is>
          <t>Date, 8 comb cells.</t>
        </is>
      </c>
      <c r="H184" s="2" t="inlineStr">
        <is>
          <t>Payment date must fall within the tax year</t>
        </is>
      </c>
      <c r="I184" s="2" t="inlineStr">
        <is>
          <t>No</t>
        </is>
      </c>
      <c r="J184" s="2" t="inlineStr">
        <is>
          <t>No range check. 'Date of payment' row 2 is missing the 8-cell comb (inconsistent).</t>
        </is>
      </c>
    </row>
    <row r="185">
      <c r="A185" s="2" t="inlineStr">
        <is>
          <t>R184</t>
        </is>
      </c>
      <c r="B185" s="2" t="n">
        <v>16</v>
      </c>
      <c r="C185" s="2" t="inlineStr">
        <is>
          <t>Sponsorships</t>
        </is>
      </c>
      <c r="D185" s="2" t="inlineStr">
        <is>
          <t>Totals</t>
        </is>
      </c>
      <c r="E185" s="2" t="inlineStr">
        <is>
          <t>Page16.TeamSponamountTotal, MediaSponamountTotal, TotalSponPaid</t>
        </is>
      </c>
      <c r="F185" s="2" t="inlineStr">
        <is>
          <t>Calculation (locked)</t>
        </is>
      </c>
      <c r="G185" s="2" t="inlineStr">
        <is>
          <t>Teams = rows 1–4; Media = rows 1–4; Total = Teams + Media</t>
        </is>
      </c>
      <c r="H185" s="2" t="inlineStr"/>
      <c r="I185" s="2" t="inlineStr">
        <is>
          <t>Yes</t>
        </is>
      </c>
      <c r="J185" s="2" t="inlineStr">
        <is>
          <t>→ S1 and S5.</t>
        </is>
      </c>
    </row>
    <row r="186">
      <c r="A186" s="2" t="inlineStr">
        <is>
          <t>R185</t>
        </is>
      </c>
      <c r="B186" s="2" t="n">
        <v>17</v>
      </c>
      <c r="C186" s="2" t="inlineStr">
        <is>
          <t>Schedule 1</t>
        </is>
      </c>
      <c r="D186" s="2" t="inlineStr">
        <is>
          <t>1</t>
        </is>
      </c>
      <c r="E186" s="2" t="inlineStr">
        <is>
          <t>Page17.SOne1</t>
        </is>
      </c>
      <c r="F186" s="2" t="inlineStr">
        <is>
          <t>Input format</t>
        </is>
      </c>
      <c r="G186" s="2" t="inlineStr">
        <is>
          <t>Manual Revenue (2 dp). Auto-filled and locked as 205 + 206 for 11(r)-only shipping operators.</t>
        </is>
      </c>
      <c r="H186" s="2" t="inlineStr"/>
      <c r="I186" s="2" t="inlineStr">
        <is>
          <t>Partly</t>
        </is>
      </c>
      <c r="J186" s="2" t="inlineStr">
        <is>
          <t>Also drives Box 94 (3% cap).</t>
        </is>
      </c>
    </row>
    <row r="187">
      <c r="A187" s="2" t="inlineStr">
        <is>
          <t>R186</t>
        </is>
      </c>
      <c r="B187" s="2" t="n">
        <v>17</v>
      </c>
      <c r="C187" s="2" t="inlineStr">
        <is>
          <t>Schedule 1</t>
        </is>
      </c>
      <c r="D187" s="2" t="inlineStr">
        <is>
          <t>2, 4–15, 18</t>
        </is>
      </c>
      <c r="E187" s="2" t="inlineStr">
        <is>
          <t>Page17.SOne2…SOne18</t>
        </is>
      </c>
      <c r="F187" s="2" t="inlineStr">
        <is>
          <t>Input format</t>
        </is>
      </c>
      <c r="G187" s="2" t="inlineStr">
        <is>
          <t>Manual (2 dp).</t>
        </is>
      </c>
      <c r="H187" s="2" t="inlineStr"/>
      <c r="I187" s="2" t="inlineStr">
        <is>
          <t>Partly</t>
        </is>
      </c>
      <c r="J187" s="2" t="inlineStr"/>
    </row>
    <row r="188">
      <c r="A188" s="2" t="inlineStr">
        <is>
          <t>R187</t>
        </is>
      </c>
      <c r="B188" s="2" t="n">
        <v>17</v>
      </c>
      <c r="C188" s="2" t="inlineStr">
        <is>
          <t>Schedule 1</t>
        </is>
      </c>
      <c r="D188" s="2" t="inlineStr">
        <is>
          <t>3</t>
        </is>
      </c>
      <c r="E188" s="2" t="inlineStr">
        <is>
          <t>Page17.SOne3</t>
        </is>
      </c>
      <c r="F188" s="2" t="inlineStr">
        <is>
          <t>Calculation (locked)</t>
        </is>
      </c>
      <c r="G188" s="2">
        <f> 1 − 2</f>
        <v/>
      </c>
      <c r="H188" s="2" t="inlineStr">
        <is>
          <t>Gross profit</t>
        </is>
      </c>
      <c r="I188" s="2" t="inlineStr">
        <is>
          <t>Yes</t>
        </is>
      </c>
      <c r="J188" s="2" t="inlineStr"/>
    </row>
    <row r="189">
      <c r="A189" s="2" t="inlineStr">
        <is>
          <t>R188</t>
        </is>
      </c>
      <c r="B189" s="2" t="n">
        <v>17</v>
      </c>
      <c r="C189" s="2" t="inlineStr">
        <is>
          <t>Schedule 1</t>
        </is>
      </c>
      <c r="D189" s="2" t="inlineStr">
        <is>
          <t>16</t>
        </is>
      </c>
      <c r="E189" s="2" t="inlineStr">
        <is>
          <t>Page17.SOne16</t>
        </is>
      </c>
      <c r="F189" s="2" t="inlineStr">
        <is>
          <t>Calculation (locked)</t>
        </is>
      </c>
      <c r="G189" s="2">
        <f> 7 + … + 15</f>
        <v/>
      </c>
      <c r="H189" s="2" t="inlineStr">
        <is>
          <t>Total expenses</t>
        </is>
      </c>
      <c r="I189" s="2" t="inlineStr">
        <is>
          <t>Yes</t>
        </is>
      </c>
      <c r="J189" s="2" t="inlineStr"/>
    </row>
    <row r="190">
      <c r="A190" s="2" t="inlineStr">
        <is>
          <t>R189</t>
        </is>
      </c>
      <c r="B190" s="2" t="n">
        <v>17</v>
      </c>
      <c r="C190" s="2" t="inlineStr">
        <is>
          <t>Schedule 1</t>
        </is>
      </c>
      <c r="D190" s="2" t="inlineStr">
        <is>
          <t>17</t>
        </is>
      </c>
      <c r="E190" s="2" t="inlineStr">
        <is>
          <t>Page17.SOne17</t>
        </is>
      </c>
      <c r="F190" s="2" t="inlineStr">
        <is>
          <t>Calculation (locked)</t>
        </is>
      </c>
      <c r="G190" s="2">
        <f> (3 + 4 + 5 + 6) − 16</f>
        <v/>
      </c>
      <c r="H190" s="2" t="inlineStr">
        <is>
          <t>Accounting profit before tax</t>
        </is>
      </c>
      <c r="I190" s="2" t="inlineStr">
        <is>
          <t>Yes</t>
        </is>
      </c>
      <c r="J190" s="2" t="inlineStr"/>
    </row>
    <row r="191">
      <c r="A191" s="2" t="inlineStr">
        <is>
          <t>R190</t>
        </is>
      </c>
      <c r="B191" s="2" t="n">
        <v>17</v>
      </c>
      <c r="C191" s="2" t="inlineStr">
        <is>
          <t>Schedule 1</t>
        </is>
      </c>
      <c r="D191" s="2" t="inlineStr">
        <is>
          <t>19</t>
        </is>
      </c>
      <c r="E191" s="2" t="inlineStr">
        <is>
          <t>Page17.SOne19</t>
        </is>
      </c>
      <c r="F191" s="2" t="inlineStr">
        <is>
          <t>Calculation (locked)</t>
        </is>
      </c>
      <c r="G191" s="2">
        <f> 17 + 18; also pushes value to Box 57 (0 if shipping operator AND VIII = Yes)</f>
        <v/>
      </c>
      <c r="H191" s="2" t="inlineStr">
        <is>
          <t>Transfer to Box 57</t>
        </is>
      </c>
      <c r="I191" s="2" t="inlineStr">
        <is>
          <t>Yes</t>
        </is>
      </c>
      <c r="J191" s="2" t="inlineStr"/>
    </row>
    <row r="192">
      <c r="A192" s="2" t="inlineStr">
        <is>
          <t>R191</t>
        </is>
      </c>
      <c r="B192" s="2" t="inlineStr">
        <is>
          <t>All</t>
        </is>
      </c>
      <c r="C192" s="2" t="inlineStr">
        <is>
          <t>All amount boxes</t>
        </is>
      </c>
      <c r="D192" s="2" t="inlineStr">
        <is>
          <t>Numeric format</t>
        </is>
      </c>
      <c r="E192" s="2" t="inlineStr">
        <is>
          <t>~250 boxes</t>
        </is>
      </c>
      <c r="F192" s="2" t="inlineStr">
        <is>
          <t>Input format</t>
        </is>
      </c>
      <c r="G192" s="2" t="inlineStr">
        <is>
          <t>Numeric only. Validation picture num{zzzzzzzzzzzzzz9.99} = 2 decimals. Most amount boxes are 14 comb cells.</t>
        </is>
      </c>
      <c r="H192" s="2" t="inlineStr">
        <is>
          <t>Rounded off to two decimals</t>
        </is>
      </c>
      <c r="I192" s="2" t="inlineStr">
        <is>
          <t>Partly</t>
        </is>
      </c>
      <c r="J192" s="2" t="inlineStr">
        <is>
          <t>Picture has no minus sign; Acrobat may show a format warning on negatives (not yet tested). Statement grids (pages 13–16) have no picture or comb, so any number of decimals is accepted.</t>
        </is>
      </c>
    </row>
    <row r="193">
      <c r="A193" s="2" t="inlineStr">
        <is>
          <t>R192</t>
        </is>
      </c>
      <c r="B193" s="2" t="inlineStr">
        <is>
          <t>All</t>
        </is>
      </c>
      <c r="C193" s="2" t="inlineStr">
        <is>
          <t>Whole form</t>
        </is>
      </c>
      <c r="D193" s="2" t="inlineStr">
        <is>
          <t>Technology</t>
        </is>
      </c>
      <c r="E193" s="2" t="inlineStr">
        <is>
          <t>XFA (Adobe LiveCycle Designer ES 9.0)</t>
        </is>
      </c>
      <c r="F193" s="2" t="inlineStr">
        <is>
          <t>Platform</t>
        </is>
      </c>
      <c r="G193" s="2" t="inlineStr">
        <is>
          <t>Scripts only run in Adobe Acrobat/Reader. Browser and Mac Preview viewers ignore all of the rules above.</t>
        </is>
      </c>
      <c r="H193" s="2" t="inlineStr"/>
      <c r="I193" s="2" t="inlineStr">
        <is>
          <t>Partly</t>
        </is>
      </c>
      <c r="J193" s="2" t="inlineStr">
        <is>
          <t>Fill only in Adobe Reader/Acrobat or the calculations won't run.</t>
        </is>
      </c>
    </row>
  </sheetData>
  <conditionalFormatting sqref="I2:I193">
    <cfRule type="expression" priority="1" dxfId="0">
      <formula>$I2="No"</formula>
    </cfRule>
    <cfRule type="expression" priority="2" dxfId="1">
      <formula>$I2="Partly"</formula>
    </cfRule>
    <cfRule type="expression" priority="3" dxfId="2">
      <formula>$I2="Yes"</formula>
    </cfRule>
  </conditionalFormatting>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D1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8" customWidth="1" min="1" max="1"/>
    <col width="26" customWidth="1" min="2" max="2"/>
    <col width="60" customWidth="1" min="3" max="3"/>
    <col width="50" customWidth="1" min="4" max="4"/>
  </cols>
  <sheetData>
    <row r="1">
      <c r="A1" s="4" t="inlineStr">
        <is>
          <t>Trigger</t>
        </is>
      </c>
      <c r="B1" s="4" t="inlineStr">
        <is>
          <t>When answer is</t>
        </is>
      </c>
      <c r="C1" s="4" t="inlineStr">
        <is>
          <t>Boxes opened / effect</t>
        </is>
      </c>
      <c r="D1" s="4" t="inlineStr">
        <is>
          <t>Otherwise</t>
        </is>
      </c>
    </row>
    <row r="2">
      <c r="A2" s="2" t="inlineStr">
        <is>
          <t>Taxpayer Type (p1)</t>
        </is>
      </c>
      <c r="B2" s="2" t="inlineStr">
        <is>
          <t>Company/Partnership/Others</t>
        </is>
      </c>
      <c r="C2" s="2" t="inlineStr">
        <is>
          <t>Group companies count (A in Note 4)</t>
        </is>
      </c>
      <c r="D2" s="2" t="inlineStr">
        <is>
          <t>Locked, set to 0</t>
        </is>
      </c>
    </row>
    <row r="3">
      <c r="A3" s="2" t="inlineStr">
        <is>
          <t>Taxpayer Type (p1)</t>
        </is>
      </c>
      <c r="B3" s="2" t="inlineStr">
        <is>
          <t>Individual</t>
        </is>
      </c>
      <c r="C3" s="2" t="inlineStr">
        <is>
          <t>Box F, Box 1, Box 131</t>
        </is>
      </c>
      <c r="D3" s="2" t="inlineStr">
        <is>
          <t>Locked, set to 0</t>
        </is>
      </c>
    </row>
    <row r="4">
      <c r="A4" s="2" t="inlineStr">
        <is>
          <t>Taxpayer Type (p1)</t>
        </is>
      </c>
      <c r="B4" s="2" t="inlineStr">
        <is>
          <t>Individual / Company</t>
        </is>
      </c>
      <c r="C4" s="2" t="inlineStr">
        <is>
          <t>Section C part 1 (187–191) only for Company; part 2 (192–203) only for Individual</t>
        </is>
      </c>
      <c r="D4" s="2" t="inlineStr">
        <is>
          <t>Other part computes 0</t>
        </is>
      </c>
    </row>
    <row r="5">
      <c r="A5" s="2" t="inlineStr">
        <is>
          <t>Non-resident shipping/aircraft operator (p1)</t>
        </is>
      </c>
      <c r="B5" s="2" t="inlineStr">
        <is>
          <t>Ticked</t>
        </is>
      </c>
      <c r="C5" s="2" t="inlineStr">
        <is>
          <t>Boxes 205, 206, 207, 208, 209, 210</t>
        </is>
      </c>
      <c r="D5" s="2" t="inlineStr">
        <is>
          <t>Locked, set to 0</t>
        </is>
      </c>
    </row>
    <row r="6">
      <c r="A6" s="2" t="inlineStr">
        <is>
          <t>Permanent establishment (p1)</t>
        </is>
      </c>
      <c r="B6" s="2" t="inlineStr">
        <is>
          <t>Ticked</t>
        </is>
      </c>
      <c r="C6" s="2" t="inlineStr">
        <is>
          <t>Boxes 64, 87, 94, 98</t>
        </is>
      </c>
      <c r="D6" s="2" t="inlineStr">
        <is>
          <t>Locked, set to 0</t>
        </is>
      </c>
    </row>
    <row r="7">
      <c r="A7" s="2" t="inlineStr">
        <is>
          <t>Residency (p1)</t>
        </is>
      </c>
      <c r="B7" s="2" t="inlineStr">
        <is>
          <t>Non-resident</t>
        </is>
      </c>
      <c r="C7" s="2" t="inlineStr">
        <is>
          <t>Box G, Box 88, Box 109</t>
        </is>
      </c>
      <c r="D7" s="2" t="inlineStr">
        <is>
          <t>Locked, set to 0</t>
        </is>
      </c>
    </row>
    <row r="8">
      <c r="A8" s="2" t="inlineStr">
        <is>
          <t>Residency (p1)</t>
        </is>
      </c>
      <c r="B8" s="2" t="inlineStr">
        <is>
          <t>Resident</t>
        </is>
      </c>
      <c r="C8" s="2" t="inlineStr">
        <is>
          <t>Box B, Box 110, Box 111</t>
        </is>
      </c>
      <c r="D8" s="2" t="inlineStr">
        <is>
          <t>Locked, set to 0</t>
        </is>
      </c>
    </row>
    <row r="9">
      <c r="A9" s="2" t="inlineStr">
        <is>
          <t>Residency (p1)</t>
        </is>
      </c>
      <c r="B9" s="2" t="inlineStr">
        <is>
          <t>Temporary resident</t>
        </is>
      </c>
      <c r="C9" s="2" t="inlineStr">
        <is>
          <t>none of the above</t>
        </is>
      </c>
      <c r="D9" s="2" t="inlineStr">
        <is>
          <t>B, G, 88, 109, 110, 111 all locked at 0</t>
        </is>
      </c>
    </row>
    <row r="10">
      <c r="A10" s="2" t="inlineStr">
        <is>
          <t>I Basis of accounts (p2)</t>
        </is>
      </c>
      <c r="B10" s="2" t="inlineStr">
        <is>
          <t>Cash basis</t>
        </is>
      </c>
      <c r="C10" s="2" t="inlineStr">
        <is>
          <t>Box 14, Box 58, Box 60</t>
        </is>
      </c>
      <c r="D10" s="2" t="inlineStr">
        <is>
          <t>Locked, set to 0</t>
        </is>
      </c>
    </row>
    <row r="11">
      <c r="A11" s="2" t="inlineStr">
        <is>
          <t>II-a Functional currency (p2)</t>
        </is>
      </c>
      <c r="B11" s="2" t="inlineStr">
        <is>
          <t>Option a / b / d</t>
        </is>
      </c>
      <c r="C11" s="2" t="inlineStr">
        <is>
          <t>Matching currency ticks (+ 'Other' text for a)</t>
        </is>
      </c>
      <c r="D11" s="2" t="inlineStr">
        <is>
          <t>Locked (values kept)</t>
        </is>
      </c>
    </row>
    <row r="12">
      <c r="A12" s="2" t="inlineStr">
        <is>
          <t>VII Thin cap (p3)</t>
        </is>
      </c>
      <c r="B12" s="2" t="inlineStr">
        <is>
          <t>Any of a–d ticked</t>
        </is>
      </c>
      <c r="C12" s="2" t="inlineStr">
        <is>
          <t>Boxes 117, 122, 128 forced to 0</t>
        </is>
      </c>
      <c r="D12" s="2" t="inlineStr">
        <is>
          <t>Normal thin-cap calc</t>
        </is>
      </c>
    </row>
    <row r="13">
      <c r="A13" s="2" t="inlineStr">
        <is>
          <t>VIII Section 11(r) only (p3)</t>
        </is>
      </c>
      <c r="B13" s="2" t="inlineStr">
        <is>
          <t>No</t>
        </is>
      </c>
      <c r="C13" s="2" t="inlineStr">
        <is>
          <t>Box 154 (Zakat) open</t>
        </is>
      </c>
      <c r="D13" s="2" t="inlineStr">
        <is>
          <t>Yes: 154 locked at 0; 57 = 0; 86/92/93/155/S5 meant to clear but don't (defect)</t>
        </is>
      </c>
    </row>
    <row r="14">
      <c r="A14" s="2" t="inlineStr">
        <is>
          <t>VIII + shipping operator</t>
        </is>
      </c>
      <c r="B14" s="2" t="inlineStr">
        <is>
          <t>Yes + ticked</t>
        </is>
      </c>
      <c r="C14" s="2" t="inlineStr">
        <is>
          <t>Schedule 1 Box 1 = 205 + 206, locked</t>
        </is>
      </c>
      <c r="D14" s="2" t="inlineStr">
        <is>
          <t>—</t>
        </is>
      </c>
    </row>
    <row r="15">
      <c r="A15" s="2" t="inlineStr">
        <is>
          <t>III Presentation currency (p2)</t>
        </is>
      </c>
      <c r="B15" s="2" t="inlineStr">
        <is>
          <t>Rufiyaa / USD</t>
        </is>
      </c>
      <c r="C15" s="2" t="inlineStr">
        <is>
          <t>Box 188 and brackets A–D use MVR or USD amounts</t>
        </is>
      </c>
      <c r="D15" s="2" t="inlineStr">
        <is>
          <t>Blank: companies USD, individuals MVR</t>
        </is>
      </c>
    </row>
    <row r="16">
      <c r="A16" s="2" t="inlineStr">
        <is>
          <t>Box 204 Bangladesh DTAA (p12)</t>
        </is>
      </c>
      <c r="B16" s="2" t="inlineStr">
        <is>
          <t>Yes</t>
        </is>
      </c>
      <c r="C16" s="2" t="inlineStr">
        <is>
          <t>Box 209 locked at 0; Box 213 uses 1%</t>
        </is>
      </c>
      <c r="D16" s="2" t="inlineStr">
        <is>
          <t>No: 209 open; 213 uses 2%</t>
        </is>
      </c>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C1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8" customWidth="1" min="1" max="1"/>
    <col width="80" customWidth="1" min="2" max="2"/>
    <col width="30" customWidth="1" min="3" max="3"/>
  </cols>
  <sheetData>
    <row r="1">
      <c r="A1" s="4" t="inlineStr">
        <is>
          <t>Item</t>
        </is>
      </c>
      <c r="B1" s="4" t="inlineStr">
        <is>
          <t>Value in script</t>
        </is>
      </c>
      <c r="C1" s="4" t="inlineStr">
        <is>
          <t>Where used</t>
        </is>
      </c>
    </row>
    <row r="2">
      <c r="A2" s="2" t="inlineStr">
        <is>
          <t>Rental deemed expenses (s28)</t>
        </is>
      </c>
      <c r="B2" s="2" t="inlineStr">
        <is>
          <t>20% of rental income</t>
        </is>
      </c>
      <c r="C2" s="2" t="inlineStr">
        <is>
          <t>Box 15, Box 59</t>
        </is>
      </c>
    </row>
    <row r="3">
      <c r="A3" s="2" t="inlineStr">
        <is>
          <t>Donations cap</t>
        </is>
      </c>
      <c r="B3" s="2" t="inlineStr">
        <is>
          <t>5% of taxable income before donations</t>
        </is>
      </c>
      <c r="C3" s="2" t="inlineStr">
        <is>
          <t>Box 42, Box 170</t>
        </is>
      </c>
    </row>
    <row r="4">
      <c r="A4" s="2" t="inlineStr">
        <is>
          <t>Head office expenses cap (PE)</t>
        </is>
      </c>
      <c r="B4" s="2" t="inlineStr">
        <is>
          <t>3% of Schedule 1 Box 1 (Revenue)</t>
        </is>
      </c>
      <c r="C4" s="2" t="inlineStr">
        <is>
          <t>Box 94</t>
        </is>
      </c>
    </row>
    <row r="5">
      <c r="A5" s="2" t="inlineStr">
        <is>
          <t>Thin cap interest capacity</t>
        </is>
      </c>
      <c r="B5" s="2" t="inlineStr">
        <is>
          <t>30% of tax-EBITDA</t>
        </is>
      </c>
      <c r="C5" s="2" t="inlineStr">
        <is>
          <t>Box 118</t>
        </is>
      </c>
    </row>
    <row r="6">
      <c r="A6" s="2" t="inlineStr">
        <is>
          <t>Company tax-free bracket</t>
        </is>
      </c>
      <c r="B6" s="2" t="inlineStr">
        <is>
          <t>MVR 500,000 or USD 32,425.42 × days/365 ÷ (A+1); days capped at 365</t>
        </is>
      </c>
      <c r="C6" s="2" t="inlineStr">
        <is>
          <t>Box 188</t>
        </is>
      </c>
    </row>
    <row r="7">
      <c r="A7" s="2" t="inlineStr">
        <is>
          <t>Company tax rate above bracket</t>
        </is>
      </c>
      <c r="B7" s="2" t="inlineStr">
        <is>
          <t>15%</t>
        </is>
      </c>
      <c r="C7" s="2" t="inlineStr">
        <is>
          <t>Box 191</t>
        </is>
      </c>
    </row>
    <row r="8">
      <c r="A8" s="2" t="inlineStr">
        <is>
          <t>Individual bracket 0%</t>
        </is>
      </c>
      <c r="B8" s="2" t="inlineStr">
        <is>
          <t>MVR 720,000 p.a. (60,000 p.m.) / USD 46,692.61 (3,891.05)</t>
        </is>
      </c>
      <c r="C8" s="2" t="inlineStr">
        <is>
          <t>Bracket A, Box 193</t>
        </is>
      </c>
    </row>
    <row r="9">
      <c r="A9" s="2" t="inlineStr">
        <is>
          <t>Individual bracket 5.5%</t>
        </is>
      </c>
      <c r="B9" s="2" t="inlineStr">
        <is>
          <t>MVR 480,000 p.a. (40,000 p.m.) / USD 31,128.41 (2,594.03)</t>
        </is>
      </c>
      <c r="C9" s="2" t="inlineStr">
        <is>
          <t>Bracket B, Box 195–196</t>
        </is>
      </c>
    </row>
    <row r="10">
      <c r="A10" s="2" t="inlineStr">
        <is>
          <t>Individual bracket 8%</t>
        </is>
      </c>
      <c r="B10" s="2" t="inlineStr">
        <is>
          <t>MVR 600,000 p.a. (50,000 p.m.) / USD 38,910.51 (3,242.54)</t>
        </is>
      </c>
      <c r="C10" s="2" t="inlineStr">
        <is>
          <t>Bracket C, Box 197–198</t>
        </is>
      </c>
    </row>
    <row r="11">
      <c r="A11" s="2" t="inlineStr">
        <is>
          <t>Individual bracket 12%</t>
        </is>
      </c>
      <c r="B11" s="2" t="inlineStr">
        <is>
          <t>MVR 600,000 p.a. (50,000 p.m.) / USD 38,910.51 (3,242.54)</t>
        </is>
      </c>
      <c r="C11" s="2" t="inlineStr">
        <is>
          <t>Bracket D, Box 199–200</t>
        </is>
      </c>
    </row>
    <row r="12">
      <c r="A12" s="2" t="inlineStr">
        <is>
          <t>Individual rate above brackets</t>
        </is>
      </c>
      <c r="B12" s="2" t="inlineStr">
        <is>
          <t>15%</t>
        </is>
      </c>
      <c r="C12" s="2" t="inlineStr">
        <is>
          <t>Box 201–202</t>
        </is>
      </c>
    </row>
    <row r="13">
      <c r="A13" s="2" t="inlineStr">
        <is>
          <t>Section 11(r) ships</t>
        </is>
      </c>
      <c r="B13" s="2" t="inlineStr">
        <is>
          <t>2% (1% if Bangladesh DTAA Art. 8 = Yes)</t>
        </is>
      </c>
      <c r="C13" s="2" t="inlineStr">
        <is>
          <t>Box 213</t>
        </is>
      </c>
    </row>
    <row r="14">
      <c r="A14" s="2" t="inlineStr">
        <is>
          <t>Section 11(r) aircraft</t>
        </is>
      </c>
      <c r="B14" s="2" t="inlineStr">
        <is>
          <t>2%</t>
        </is>
      </c>
      <c r="C14" s="2" t="inlineStr">
        <is>
          <t>Box 214</t>
        </is>
      </c>
    </row>
    <row r="15">
      <c r="A15" s="2" t="inlineStr">
        <is>
          <t>Capital allowance rates (printed only)</t>
        </is>
      </c>
      <c r="B15" s="2" t="inlineStr">
        <is>
          <t>Buildings 4%; Aircraft 7%; Wooden vessels 7%; Other vessels 5%; Furniture 10%; Motor vehicles 20%; Earth moving 5%; Plant 10%; Office equipment 20%; Software 33⅓%; Crockery etc. 33⅓%</t>
        </is>
      </c>
      <c r="C15" s="2" t="inlineStr">
        <is>
          <t>Page 13 (not used in any calc)</t>
        </is>
      </c>
    </row>
    <row r="16">
      <c r="A16" s="2" t="inlineStr">
        <is>
          <t>Rounding</t>
        </is>
      </c>
      <c r="B16" s="2" t="inlineStr">
        <is>
          <t>ROUND(…, 2) on percentage boxes; 2-decimal picture on amount boxes</t>
        </is>
      </c>
      <c r="C16" s="2" t="inlineStr">
        <is>
          <t>Throughout</t>
        </is>
      </c>
    </row>
    <row r="17">
      <c r="A17" s="2" t="inlineStr">
        <is>
          <t>Leap year</t>
        </is>
      </c>
      <c r="B17" s="2" t="inlineStr">
        <is>
          <t>Special 1-day reduction only when the period includes Feb 2024</t>
        </is>
      </c>
      <c r="C17" s="2" t="inlineStr">
        <is>
          <t>Box 188</t>
        </is>
      </c>
    </row>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E1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6" customWidth="1" min="2" max="2"/>
    <col width="26" customWidth="1" min="3" max="3"/>
    <col width="30" customWidth="1" min="4" max="4"/>
    <col width="110" customWidth="1" min="5" max="5"/>
  </cols>
  <sheetData>
    <row r="1">
      <c r="A1" s="4" t="inlineStr">
        <is>
          <t>Register ID</t>
        </is>
      </c>
      <c r="B1" s="4" t="inlineStr">
        <is>
          <t>Page</t>
        </is>
      </c>
      <c r="C1" s="4" t="inlineStr">
        <is>
          <t>Box / item</t>
        </is>
      </c>
      <c r="D1" s="4" t="inlineStr">
        <is>
          <t>XFA field</t>
        </is>
      </c>
      <c r="E1" s="4" t="inlineStr">
        <is>
          <t>Issue and impact</t>
        </is>
      </c>
    </row>
    <row r="2">
      <c r="A2" s="2" t="inlineStr">
        <is>
          <t>R015</t>
        </is>
      </c>
      <c r="B2" s="2" t="n">
        <v>1</v>
      </c>
      <c r="C2" s="2" t="inlineStr">
        <is>
          <t>A</t>
        </is>
      </c>
      <c r="D2" s="2" t="inlineStr">
        <is>
          <t>Page1.A</t>
        </is>
      </c>
      <c r="E2" s="2" t="inlineStr">
        <is>
          <t>If both 191 and 203 have values, Box A silently becomes 0.</t>
        </is>
      </c>
    </row>
    <row r="3">
      <c r="A3" s="2" t="inlineStr">
        <is>
          <t>R025</t>
        </is>
      </c>
      <c r="B3" s="2" t="n">
        <v>1</v>
      </c>
      <c r="C3" s="2" t="inlineStr">
        <is>
          <t>A–N colour</t>
        </is>
      </c>
      <c r="D3" s="2" t="inlineStr">
        <is>
          <t>Page1.A … N (validate script)</t>
        </is>
      </c>
      <c r="E3" s="2" t="inlineStr">
        <is>
          <t>Defect: every script tests Box J (not its own box), so only Box J's colour changes. Not a real validation.</t>
        </is>
      </c>
    </row>
    <row r="4">
      <c r="A4" s="2" t="inlineStr">
        <is>
          <t>R031</t>
        </is>
      </c>
      <c r="B4" s="2" t="n">
        <v>1</v>
      </c>
      <c r="C4" s="2" t="inlineStr">
        <is>
          <t>Required fields</t>
        </is>
      </c>
      <c r="D4" s="2" t="inlineStr">
        <is>
          <t>(none)</t>
        </is>
      </c>
      <c r="E4" s="2" t="inlineStr">
        <is>
          <t>Completeness is only checked when you submit on MIRAconnect.</t>
        </is>
      </c>
    </row>
    <row r="5">
      <c r="A5" s="2" t="inlineStr">
        <is>
          <t>R039</t>
        </is>
      </c>
      <c r="B5" s="2" t="n">
        <v>2</v>
      </c>
      <c r="C5" s="2" t="inlineStr">
        <is>
          <t>Rufiyaa / USD</t>
        </is>
      </c>
      <c r="D5" s="2" t="inlineStr">
        <is>
          <t>Page2.BIII2</t>
        </is>
      </c>
      <c r="E5" s="2" t="inlineStr">
        <is>
          <t>Defect: script meant to auto-set it from functional currency uses '==' (compare) not '=' (assign), so nothing happens. You must tick it yourself, and if left blank, companies get the USD bracket (Box 188 treats anything but '1' as USD) while individuals get MVR brackets (A–D treat anything but '2' as MVR).</t>
        </is>
      </c>
    </row>
    <row r="6">
      <c r="A6" s="2" t="inlineStr">
        <is>
          <t>R045</t>
        </is>
      </c>
      <c r="B6" s="2" t="n">
        <v>3</v>
      </c>
      <c r="C6" s="2" t="inlineStr">
        <is>
          <t>Yes / No</t>
        </is>
      </c>
      <c r="D6" s="2" t="inlineStr">
        <is>
          <t>Page3.S11r</t>
        </is>
      </c>
      <c r="E6" s="2" t="inlineStr">
        <is>
          <t>Defect: for 86, 92, 93, 155 and S5 the script sets access = '0' instead of value = 0, so those boxes are neither cleared nor recalculated when 'Yes'. Box 57 is zeroed correctly.</t>
        </is>
      </c>
    </row>
    <row r="7">
      <c r="A7" s="2" t="inlineStr">
        <is>
          <t>R069</t>
        </is>
      </c>
      <c r="B7" s="2" t="n">
        <v>4</v>
      </c>
      <c r="C7" s="2" t="inlineStr">
        <is>
          <t>24</t>
        </is>
      </c>
      <c r="D7" s="2" t="inlineStr">
        <is>
          <t>Page4.A24</t>
        </is>
      </c>
      <c r="E7" s="2" t="inlineStr">
        <is>
          <t>Script follows the printed words literally (19 − 18), so when losses exceed gains the carry-forward shows as a negative number. The intended figure is probably 18 − 19 (positive).</t>
        </is>
      </c>
    </row>
    <row r="8">
      <c r="A8" s="2" t="inlineStr">
        <is>
          <t>R086</t>
        </is>
      </c>
      <c r="B8" s="2" t="n">
        <v>6</v>
      </c>
      <c r="C8" s="2" t="inlineStr">
        <is>
          <t>41</t>
        </is>
      </c>
      <c r="D8" s="2" t="inlineStr">
        <is>
          <t>Page6.A41</t>
        </is>
      </c>
      <c r="E8" s="2" t="inlineStr">
        <is>
          <t>Box 46's exit script can cap Box 41 at Box 36, set it to 0, or unlock it for manual entry (when 34 = 39 and 35 = 40). It looks copied from another box and can override the printed formula.</t>
        </is>
      </c>
    </row>
    <row r="9">
      <c r="A9" s="2" t="inlineStr">
        <is>
          <t>R138</t>
        </is>
      </c>
      <c r="B9" s="2" t="n">
        <v>10</v>
      </c>
      <c r="C9" s="2" t="inlineStr">
        <is>
          <t>166–169</t>
        </is>
      </c>
      <c r="D9" s="2" t="inlineStr">
        <is>
          <t>Page10.B166–B169</t>
        </is>
      </c>
      <c r="E9" s="2" t="inlineStr">
        <is>
          <t>Box 174's exit script can overwrite or unlock Box 169 (same quirk as Box 41).</t>
        </is>
      </c>
    </row>
    <row r="10">
      <c r="A10" s="2" t="inlineStr">
        <is>
          <t>R149</t>
        </is>
      </c>
      <c r="B10" s="2" t="n">
        <v>11</v>
      </c>
      <c r="C10" s="2" t="inlineStr">
        <is>
          <t>188</t>
        </is>
      </c>
      <c r="D10" s="2" t="inlineStr">
        <is>
          <t>Page11.C188</t>
        </is>
      </c>
      <c r="E10" s="2" t="inlineStr">
        <is>
          <t>Leap-day fix hard-coded to 2024 only (drops the +1 day when the period covers Feb 2024). Other leap years (e.g. 2028) not handled.</t>
        </is>
      </c>
    </row>
    <row r="11">
      <c r="A11" s="2" t="inlineStr">
        <is>
          <t>R158</t>
        </is>
      </c>
      <c r="B11" s="2" t="n">
        <v>12</v>
      </c>
      <c r="C11" s="2" t="inlineStr">
        <is>
          <t>Note 5 brackets – month count</t>
        </is>
      </c>
      <c r="D11" s="2" t="inlineStr">
        <is>
          <t>Page12.AA–AD</t>
        </is>
      </c>
      <c r="E11" s="2" t="inlineStr">
        <is>
          <t>A period crossing a year end (e.g. Jul 2025–Jun 2026) gives n = 0 or negative, so the brackets come out wrong and too much income falls into 15%. Only correct for periods inside one calendar year.</t>
        </is>
      </c>
    </row>
    <row r="12">
      <c r="A12" s="2" t="inlineStr">
        <is>
          <t>R159</t>
        </is>
      </c>
      <c r="B12" s="2" t="n">
        <v>12</v>
      </c>
      <c r="C12" s="2" t="inlineStr">
        <is>
          <t>Note 5 brackets – month length</t>
        </is>
      </c>
      <c r="D12" s="2" t="inlineStr">
        <is>
          <t>Page12.AA–AD</t>
        </is>
      </c>
      <c r="E12" s="2" t="inlineStr">
        <is>
          <t>Leap-year February periods are slightly off.</t>
        </is>
      </c>
    </row>
    <row r="13">
      <c r="A13" s="2" t="inlineStr">
        <is>
          <t>R167</t>
        </is>
      </c>
      <c r="B13" s="2" t="n">
        <v>12</v>
      </c>
      <c r="C13" s="2" t="inlineStr">
        <is>
          <t>205/206 → Schedule 1</t>
        </is>
      </c>
      <c r="D13" s="2" t="inlineStr">
        <is>
          <t>Page12.C205, C206 (exit)</t>
        </is>
      </c>
      <c r="E13" s="2" t="inlineStr">
        <is>
          <t>Unlock branch uses '==' so Schedule 1 Box 1 never unlocks again in the same session.</t>
        </is>
      </c>
    </row>
    <row r="14">
      <c r="A14" s="2" t="inlineStr">
        <is>
          <t>R173</t>
        </is>
      </c>
      <c r="B14" s="2" t="n">
        <v>13</v>
      </c>
      <c r="C14" s="2" t="inlineStr">
        <is>
          <t>Rows 1–14, cols 2–7</t>
        </is>
      </c>
      <c r="D14" s="2" t="inlineStr">
        <is>
          <t>Page13.CAxy</t>
        </is>
      </c>
      <c r="E14" s="2" t="inlineStr">
        <is>
          <t>No row calculations: columns 3, 6 and 7 are not computed, capped or checked. Only the col-7 TOTAL is auto-summed.</t>
        </is>
      </c>
    </row>
    <row r="15">
      <c r="A15" s="2" t="inlineStr">
        <is>
          <t>R175</t>
        </is>
      </c>
      <c r="B15" s="2" t="n">
        <v>14</v>
      </c>
      <c r="C15" s="2" t="inlineStr">
        <is>
          <t>Rows 1–14, cols 8–14.2</t>
        </is>
      </c>
      <c r="D15" s="2" t="inlineStr">
        <is>
          <t>Page14.CBxy, Cx141, Cx142</t>
        </is>
      </c>
      <c r="E15" s="2" t="inlineStr">
        <is>
          <t>No row calculations or sign checks. Enter col 14.2 as negative (it is × −1 into Box 93).</t>
        </is>
      </c>
    </row>
  </sheetData>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M67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0" customWidth="1" min="1" max="1"/>
    <col width="8" customWidth="1" min="2" max="2"/>
    <col width="14" customWidth="1" min="3" max="3"/>
    <col width="10" customWidth="1" min="4" max="4"/>
    <col width="8" customWidth="1" min="5" max="5"/>
    <col width="8" customWidth="1" min="6" max="6"/>
    <col width="26" customWidth="1" min="7" max="7"/>
    <col width="26" customWidth="1" min="8" max="8"/>
    <col width="10" customWidth="1" min="9" max="9"/>
    <col width="10" customWidth="1" min="10" max="10"/>
    <col width="10" customWidth="1" min="11" max="11"/>
    <col width="10" customWidth="1" min="12" max="12"/>
    <col width="24" customWidth="1" min="13" max="13"/>
  </cols>
  <sheetData>
    <row r="1">
      <c r="A1" s="4" t="inlineStr">
        <is>
          <t>Field (XFA path)</t>
        </is>
      </c>
      <c r="B1" s="4" t="inlineStr">
        <is>
          <t>Page</t>
        </is>
      </c>
      <c r="C1" s="4" t="inlineStr">
        <is>
          <t>Control</t>
        </is>
      </c>
      <c r="D1" s="4" t="inlineStr">
        <is>
          <t>Data type</t>
        </is>
      </c>
      <c r="E1" s="4" t="inlineStr">
        <is>
          <t>Comb cells</t>
        </is>
      </c>
      <c r="F1" s="4" t="inlineStr">
        <is>
          <t>Max chars</t>
        </is>
      </c>
      <c r="G1" s="4" t="inlineStr">
        <is>
          <t>Validation picture</t>
        </is>
      </c>
      <c r="H1" s="4" t="inlineStr">
        <is>
          <t>Display picture</t>
        </is>
      </c>
      <c r="I1" s="4" t="inlineStr">
        <is>
          <t>Access</t>
        </is>
      </c>
      <c r="J1" s="4" t="inlineStr">
        <is>
          <t>Calculated</t>
        </is>
      </c>
      <c r="K1" s="4" t="inlineStr">
        <is>
          <t>Has event script</t>
        </is>
      </c>
      <c r="L1" s="4" t="inlineStr">
        <is>
          <t>Format test</t>
        </is>
      </c>
      <c r="M1" s="4" t="inlineStr">
        <is>
          <t>Dropdown items</t>
        </is>
      </c>
    </row>
    <row r="2">
      <c r="A2" s="2" t="inlineStr">
        <is>
          <t>Page1.ResetButton1</t>
        </is>
      </c>
      <c r="B2" s="2" t="inlineStr">
        <is>
          <t>Page1</t>
        </is>
      </c>
      <c r="C2" s="2" t="inlineStr">
        <is>
          <t>button</t>
        </is>
      </c>
      <c r="D2" s="2" t="inlineStr"/>
      <c r="E2" s="2" t="inlineStr"/>
      <c r="F2" s="2" t="inlineStr"/>
      <c r="G2" s="2" t="inlineStr"/>
      <c r="H2" s="2" t="inlineStr"/>
      <c r="I2" s="2" t="inlineStr">
        <is>
          <t>Editable</t>
        </is>
      </c>
      <c r="J2" s="2" t="inlineStr"/>
      <c r="K2" s="2" t="inlineStr">
        <is>
          <t>Yes</t>
        </is>
      </c>
      <c r="L2" s="2" t="inlineStr"/>
      <c r="M2" s="2" t="inlineStr"/>
    </row>
    <row r="3">
      <c r="A3" s="2" t="inlineStr">
        <is>
          <t>Page1.TextField2</t>
        </is>
      </c>
      <c r="B3" s="2" t="inlineStr">
        <is>
          <t>Page1</t>
        </is>
      </c>
      <c r="C3" s="2" t="inlineStr">
        <is>
          <t>textEdit</t>
        </is>
      </c>
      <c r="D3" s="2" t="inlineStr"/>
      <c r="E3" s="2" t="inlineStr"/>
      <c r="F3" s="2" t="inlineStr"/>
      <c r="G3" s="2" t="inlineStr"/>
      <c r="H3" s="2" t="inlineStr"/>
      <c r="I3" s="2" t="inlineStr">
        <is>
          <t>Editable</t>
        </is>
      </c>
      <c r="J3" s="2" t="inlineStr"/>
      <c r="K3" s="2" t="inlineStr"/>
      <c r="L3" s="2" t="inlineStr"/>
      <c r="M3" s="2" t="inlineStr"/>
    </row>
    <row r="4">
      <c r="A4" s="2" t="inlineStr">
        <is>
          <t>Page1.AccPeriodFrom</t>
        </is>
      </c>
      <c r="B4" s="2" t="inlineStr">
        <is>
          <t>Page1</t>
        </is>
      </c>
      <c r="C4" s="2" t="inlineStr">
        <is>
          <t>dateTimeEdit</t>
        </is>
      </c>
      <c r="D4" s="2" t="inlineStr">
        <is>
          <t>date</t>
        </is>
      </c>
      <c r="E4" s="2" t="inlineStr">
        <is>
          <t>8</t>
        </is>
      </c>
      <c r="F4" s="2" t="inlineStr"/>
      <c r="G4" s="2" t="inlineStr"/>
      <c r="H4" s="2" t="inlineStr">
        <is>
          <t>date{DDMMYYYY}</t>
        </is>
      </c>
      <c r="I4" s="2" t="inlineStr">
        <is>
          <t>Editable</t>
        </is>
      </c>
      <c r="J4" s="2" t="inlineStr"/>
      <c r="K4" s="2" t="inlineStr"/>
      <c r="L4" s="2" t="inlineStr"/>
      <c r="M4" s="2" t="inlineStr"/>
    </row>
    <row r="5">
      <c r="A5" s="2" t="inlineStr">
        <is>
          <t>Page1.AccPeriodTo</t>
        </is>
      </c>
      <c r="B5" s="2" t="inlineStr">
        <is>
          <t>Page1</t>
        </is>
      </c>
      <c r="C5" s="2" t="inlineStr">
        <is>
          <t>dateTimeEdit</t>
        </is>
      </c>
      <c r="D5" s="2" t="inlineStr">
        <is>
          <t>date</t>
        </is>
      </c>
      <c r="E5" s="2" t="inlineStr">
        <is>
          <t>8</t>
        </is>
      </c>
      <c r="F5" s="2" t="inlineStr"/>
      <c r="G5" s="2" t="inlineStr"/>
      <c r="H5" s="2" t="inlineStr">
        <is>
          <t>date{DDMMYYYY}</t>
        </is>
      </c>
      <c r="I5" s="2" t="inlineStr">
        <is>
          <t>Editable</t>
        </is>
      </c>
      <c r="J5" s="2" t="inlineStr"/>
      <c r="K5" s="2" t="inlineStr"/>
      <c r="L5" s="2" t="inlineStr"/>
      <c r="M5" s="2" t="inlineStr"/>
    </row>
    <row r="6">
      <c r="A6" s="2" t="inlineStr">
        <is>
          <t>Page1.TextField15</t>
        </is>
      </c>
      <c r="B6" s="2" t="inlineStr">
        <is>
          <t>Page1</t>
        </is>
      </c>
      <c r="C6" s="2" t="inlineStr">
        <is>
          <t>textEdit</t>
        </is>
      </c>
      <c r="D6" s="2" t="inlineStr"/>
      <c r="E6" s="2" t="inlineStr"/>
      <c r="F6" s="2" t="inlineStr"/>
      <c r="G6" s="2" t="inlineStr"/>
      <c r="H6" s="2" t="inlineStr"/>
      <c r="I6" s="2" t="inlineStr">
        <is>
          <t>Editable</t>
        </is>
      </c>
      <c r="J6" s="2" t="inlineStr"/>
      <c r="K6" s="2" t="inlineStr"/>
      <c r="L6" s="2" t="inlineStr"/>
      <c r="M6" s="2" t="inlineStr"/>
    </row>
    <row r="7">
      <c r="A7" s="2" t="inlineStr">
        <is>
          <t>Page1.TextField16</t>
        </is>
      </c>
      <c r="B7" s="2" t="inlineStr">
        <is>
          <t>Page1</t>
        </is>
      </c>
      <c r="C7" s="2" t="inlineStr">
        <is>
          <t>textEdit</t>
        </is>
      </c>
      <c r="D7" s="2" t="inlineStr"/>
      <c r="E7" s="2" t="inlineStr"/>
      <c r="F7" s="2" t="inlineStr"/>
      <c r="G7" s="2" t="inlineStr"/>
      <c r="H7" s="2" t="inlineStr"/>
      <c r="I7" s="2" t="inlineStr">
        <is>
          <t>Editable</t>
        </is>
      </c>
      <c r="J7" s="2" t="inlineStr"/>
      <c r="K7" s="2" t="inlineStr"/>
      <c r="L7" s="2" t="inlineStr"/>
      <c r="M7" s="2" t="inlineStr"/>
    </row>
    <row r="8">
      <c r="A8" s="2" t="inlineStr">
        <is>
          <t>Page1.TpType</t>
        </is>
      </c>
      <c r="B8" s="2" t="inlineStr">
        <is>
          <t>Page1</t>
        </is>
      </c>
      <c r="C8" s="2" t="inlineStr">
        <is>
          <t>checkButton</t>
        </is>
      </c>
      <c r="D8" s="2" t="inlineStr">
        <is>
          <t>text</t>
        </is>
      </c>
      <c r="E8" s="2" t="inlineStr"/>
      <c r="F8" s="2" t="inlineStr"/>
      <c r="G8" s="2" t="inlineStr"/>
      <c r="H8" s="2" t="inlineStr"/>
      <c r="I8" s="2" t="inlineStr">
        <is>
          <t>Editable</t>
        </is>
      </c>
      <c r="J8" s="2" t="inlineStr"/>
      <c r="K8" s="2" t="inlineStr"/>
      <c r="L8" s="2" t="inlineStr"/>
      <c r="M8" s="2" t="inlineStr"/>
    </row>
    <row r="9">
      <c r="A9" s="2" t="inlineStr">
        <is>
          <t>Page1.TpType</t>
        </is>
      </c>
      <c r="B9" s="2" t="inlineStr">
        <is>
          <t>Page1</t>
        </is>
      </c>
      <c r="C9" s="2" t="inlineStr">
        <is>
          <t>checkButton</t>
        </is>
      </c>
      <c r="D9" s="2" t="inlineStr">
        <is>
          <t>text</t>
        </is>
      </c>
      <c r="E9" s="2" t="inlineStr"/>
      <c r="F9" s="2" t="inlineStr"/>
      <c r="G9" s="2" t="inlineStr"/>
      <c r="H9" s="2" t="inlineStr"/>
      <c r="I9" s="2" t="inlineStr">
        <is>
          <t>Editable</t>
        </is>
      </c>
      <c r="J9" s="2" t="inlineStr"/>
      <c r="K9" s="2" t="inlineStr"/>
      <c r="L9" s="2" t="inlineStr"/>
      <c r="M9" s="2" t="inlineStr"/>
    </row>
    <row r="10">
      <c r="A10" s="2" t="inlineStr">
        <is>
          <t>Page1.shipping</t>
        </is>
      </c>
      <c r="B10" s="2" t="inlineStr">
        <is>
          <t>Page1</t>
        </is>
      </c>
      <c r="C10" s="2" t="inlineStr">
        <is>
          <t>checkButton</t>
        </is>
      </c>
      <c r="D10" s="2" t="inlineStr">
        <is>
          <t>integer</t>
        </is>
      </c>
      <c r="E10" s="2" t="inlineStr"/>
      <c r="F10" s="2" t="inlineStr"/>
      <c r="G10" s="2" t="inlineStr"/>
      <c r="H10" s="2" t="inlineStr"/>
      <c r="I10" s="2" t="inlineStr">
        <is>
          <t>Editable</t>
        </is>
      </c>
      <c r="J10" s="2" t="inlineStr"/>
      <c r="K10" s="2" t="inlineStr">
        <is>
          <t>Yes</t>
        </is>
      </c>
      <c r="L10" s="2" t="inlineStr"/>
      <c r="M10" s="2" t="inlineStr"/>
    </row>
    <row r="11">
      <c r="A11" s="2" t="inlineStr">
        <is>
          <t>Page1.AAA</t>
        </is>
      </c>
      <c r="B11" s="2" t="inlineStr">
        <is>
          <t>Page1</t>
        </is>
      </c>
      <c r="C11" s="2" t="inlineStr">
        <is>
          <t>numericEdit</t>
        </is>
      </c>
      <c r="D11" s="2" t="inlineStr"/>
      <c r="E11" s="2" t="inlineStr"/>
      <c r="F11" s="2" t="inlineStr"/>
      <c r="G11" s="2" t="inlineStr"/>
      <c r="H11" s="2" t="inlineStr">
        <is>
          <t>num{zzzzzzzzzzzz9}</t>
        </is>
      </c>
      <c r="I11" s="2" t="inlineStr">
        <is>
          <t>Editable</t>
        </is>
      </c>
      <c r="J11" s="2" t="inlineStr"/>
      <c r="K11" s="2" t="inlineStr"/>
      <c r="L11" s="2" t="inlineStr"/>
      <c r="M11" s="2" t="inlineStr"/>
    </row>
    <row r="12">
      <c r="A12" s="2" t="inlineStr">
        <is>
          <t>Page1.DName</t>
        </is>
      </c>
      <c r="B12" s="2" t="inlineStr">
        <is>
          <t>Page1</t>
        </is>
      </c>
      <c r="C12" s="2" t="inlineStr">
        <is>
          <t>textEdit</t>
        </is>
      </c>
      <c r="D12" s="2" t="inlineStr">
        <is>
          <t>text</t>
        </is>
      </c>
      <c r="E12" s="2" t="inlineStr"/>
      <c r="F12" s="2" t="inlineStr">
        <is>
          <t>70</t>
        </is>
      </c>
      <c r="G12" s="2" t="inlineStr"/>
      <c r="H12" s="2" t="inlineStr"/>
      <c r="I12" s="2" t="inlineStr">
        <is>
          <t>Editable</t>
        </is>
      </c>
      <c r="J12" s="2" t="inlineStr"/>
      <c r="K12" s="2" t="inlineStr"/>
      <c r="L12" s="2" t="inlineStr"/>
      <c r="M12" s="2" t="inlineStr"/>
    </row>
    <row r="13">
      <c r="A13" s="2" t="inlineStr">
        <is>
          <t>Page1.DContact</t>
        </is>
      </c>
      <c r="B13" s="2" t="inlineStr">
        <is>
          <t>Page1</t>
        </is>
      </c>
      <c r="C13" s="2" t="inlineStr">
        <is>
          <t>numericEdit</t>
        </is>
      </c>
      <c r="D13" s="2" t="inlineStr"/>
      <c r="E13" s="2" t="inlineStr"/>
      <c r="F13" s="2" t="inlineStr"/>
      <c r="G13" s="2" t="inlineStr">
        <is>
          <t>num{zzzzzzzzzzzz9}</t>
        </is>
      </c>
      <c r="H13" s="2" t="inlineStr">
        <is>
          <t>num{zzzzzzzzzzzz9}</t>
        </is>
      </c>
      <c r="I13" s="2" t="inlineStr">
        <is>
          <t>Editable</t>
        </is>
      </c>
      <c r="J13" s="2" t="inlineStr"/>
      <c r="K13" s="2" t="inlineStr"/>
      <c r="L13" s="2" t="inlineStr"/>
      <c r="M13" s="2" t="inlineStr"/>
    </row>
    <row r="14">
      <c r="A14" s="2" t="inlineStr">
        <is>
          <t>Page1.DDesignation</t>
        </is>
      </c>
      <c r="B14" s="2" t="inlineStr">
        <is>
          <t>Page1</t>
        </is>
      </c>
      <c r="C14" s="2" t="inlineStr">
        <is>
          <t>textEdit</t>
        </is>
      </c>
      <c r="D14" s="2" t="inlineStr">
        <is>
          <t>text</t>
        </is>
      </c>
      <c r="E14" s="2" t="inlineStr"/>
      <c r="F14" s="2" t="inlineStr">
        <is>
          <t>50</t>
        </is>
      </c>
      <c r="G14" s="2" t="inlineStr"/>
      <c r="H14" s="2" t="inlineStr"/>
      <c r="I14" s="2" t="inlineStr">
        <is>
          <t>Editable</t>
        </is>
      </c>
      <c r="J14" s="2" t="inlineStr"/>
      <c r="K14" s="2" t="inlineStr"/>
      <c r="L14" s="2" t="inlineStr"/>
      <c r="M14" s="2" t="inlineStr"/>
    </row>
    <row r="15">
      <c r="A15" s="2" t="inlineStr">
        <is>
          <t>Page1.DDate</t>
        </is>
      </c>
      <c r="B15" s="2" t="inlineStr">
        <is>
          <t>Page1</t>
        </is>
      </c>
      <c r="C15" s="2" t="inlineStr">
        <is>
          <t>dateTimeEdit</t>
        </is>
      </c>
      <c r="D15" s="2" t="inlineStr">
        <is>
          <t>date</t>
        </is>
      </c>
      <c r="E15" s="2" t="inlineStr">
        <is>
          <t>8</t>
        </is>
      </c>
      <c r="F15" s="2" t="inlineStr"/>
      <c r="G15" s="2" t="inlineStr"/>
      <c r="H15" s="2" t="inlineStr">
        <is>
          <t>date{DDMMYYYY}</t>
        </is>
      </c>
      <c r="I15" s="2" t="inlineStr">
        <is>
          <t>Editable</t>
        </is>
      </c>
      <c r="J15" s="2" t="inlineStr"/>
      <c r="K15" s="2" t="inlineStr"/>
      <c r="L15" s="2" t="inlineStr"/>
      <c r="M15" s="2" t="inlineStr"/>
    </row>
    <row r="16">
      <c r="A16" s="2" t="inlineStr">
        <is>
          <t>Page1.DName</t>
        </is>
      </c>
      <c r="B16" s="2" t="inlineStr">
        <is>
          <t>Page1</t>
        </is>
      </c>
      <c r="C16" s="2" t="inlineStr">
        <is>
          <t>textEdit</t>
        </is>
      </c>
      <c r="D16" s="2" t="inlineStr">
        <is>
          <t>text</t>
        </is>
      </c>
      <c r="E16" s="2" t="inlineStr"/>
      <c r="F16" s="2" t="inlineStr">
        <is>
          <t>70</t>
        </is>
      </c>
      <c r="G16" s="2" t="inlineStr"/>
      <c r="H16" s="2" t="inlineStr"/>
      <c r="I16" s="2" t="inlineStr">
        <is>
          <t>Editable</t>
        </is>
      </c>
      <c r="J16" s="2" t="inlineStr"/>
      <c r="K16" s="2" t="inlineStr"/>
      <c r="L16" s="2" t="inlineStr"/>
      <c r="M16" s="2" t="inlineStr"/>
    </row>
    <row r="17">
      <c r="A17" s="2" t="inlineStr">
        <is>
          <t>Page1.DName</t>
        </is>
      </c>
      <c r="B17" s="2" t="inlineStr">
        <is>
          <t>Page1</t>
        </is>
      </c>
      <c r="C17" s="2" t="inlineStr">
        <is>
          <t>textEdit</t>
        </is>
      </c>
      <c r="D17" s="2" t="inlineStr">
        <is>
          <t>text</t>
        </is>
      </c>
      <c r="E17" s="2" t="inlineStr"/>
      <c r="F17" s="2" t="inlineStr">
        <is>
          <t>70</t>
        </is>
      </c>
      <c r="G17" s="2" t="inlineStr"/>
      <c r="H17" s="2" t="inlineStr"/>
      <c r="I17" s="2" t="inlineStr">
        <is>
          <t>Editable</t>
        </is>
      </c>
      <c r="J17" s="2" t="inlineStr"/>
      <c r="K17" s="2" t="inlineStr"/>
      <c r="L17" s="2" t="inlineStr"/>
      <c r="M17" s="2" t="inlineStr"/>
    </row>
    <row r="18">
      <c r="A18" s="2" t="inlineStr">
        <is>
          <t>Page1.A</t>
        </is>
      </c>
      <c r="B18" s="2" t="inlineStr">
        <is>
          <t>Page1</t>
        </is>
      </c>
      <c r="C18" s="2" t="inlineStr">
        <is>
          <t>numericEdit</t>
        </is>
      </c>
      <c r="D18" s="2" t="inlineStr">
        <is>
          <t>decimal</t>
        </is>
      </c>
      <c r="E18" s="2" t="inlineStr">
        <is>
          <t>14</t>
        </is>
      </c>
      <c r="F18" s="2" t="inlineStr"/>
      <c r="G18" s="2" t="inlineStr">
        <is>
          <t>num{zzzzzzzzzzzzzz9.99}</t>
        </is>
      </c>
      <c r="H18" s="2" t="inlineStr">
        <is>
          <t>num{zzzzzzzzzzzzzz9.99}</t>
        </is>
      </c>
      <c r="I18" s="2" t="inlineStr">
        <is>
          <t>Read-only</t>
        </is>
      </c>
      <c r="J18" s="2" t="inlineStr">
        <is>
          <t>Yes</t>
        </is>
      </c>
      <c r="K18" s="2" t="inlineStr"/>
      <c r="L18" s="2" t="inlineStr"/>
      <c r="M18" s="2" t="inlineStr"/>
    </row>
    <row r="19">
      <c r="A19" s="2" t="inlineStr">
        <is>
          <t>Page1.B</t>
        </is>
      </c>
      <c r="B19" s="2" t="inlineStr">
        <is>
          <t>Page1</t>
        </is>
      </c>
      <c r="C19" s="2" t="inlineStr">
        <is>
          <t>numericEdit</t>
        </is>
      </c>
      <c r="D19" s="2" t="inlineStr">
        <is>
          <t>decimal</t>
        </is>
      </c>
      <c r="E19" s="2" t="inlineStr">
        <is>
          <t>14</t>
        </is>
      </c>
      <c r="F19" s="2" t="inlineStr"/>
      <c r="G19" s="2" t="inlineStr">
        <is>
          <t>num{zzzzzzzzzzzzzz9.99}</t>
        </is>
      </c>
      <c r="H19" s="2" t="inlineStr">
        <is>
          <t>num{zzzzzzzzzzzzzz9.99}</t>
        </is>
      </c>
      <c r="I19" s="2" t="inlineStr">
        <is>
          <t>Editable</t>
        </is>
      </c>
      <c r="J19" s="2" t="inlineStr"/>
      <c r="K19" s="2" t="inlineStr"/>
      <c r="L19" s="2" t="inlineStr"/>
      <c r="M19" s="2" t="inlineStr"/>
    </row>
    <row r="20">
      <c r="A20" s="2" t="inlineStr">
        <is>
          <t>Page1.C</t>
        </is>
      </c>
      <c r="B20" s="2" t="inlineStr">
        <is>
          <t>Page1</t>
        </is>
      </c>
      <c r="C20" s="2" t="inlineStr">
        <is>
          <t>numericEdit</t>
        </is>
      </c>
      <c r="D20" s="2" t="inlineStr">
        <is>
          <t>decimal</t>
        </is>
      </c>
      <c r="E20" s="2" t="inlineStr">
        <is>
          <t>14</t>
        </is>
      </c>
      <c r="F20" s="2" t="inlineStr"/>
      <c r="G20" s="2" t="inlineStr">
        <is>
          <t>num{zzzzzzzzzzzzzz9.99}</t>
        </is>
      </c>
      <c r="H20" s="2" t="inlineStr">
        <is>
          <t>num{zzzzzzzzzzzzzz9.99}</t>
        </is>
      </c>
      <c r="I20" s="2" t="inlineStr">
        <is>
          <t>Read-only</t>
        </is>
      </c>
      <c r="J20" s="2" t="inlineStr">
        <is>
          <t>Yes</t>
        </is>
      </c>
      <c r="K20" s="2" t="inlineStr"/>
      <c r="L20" s="2" t="inlineStr"/>
      <c r="M20" s="2" t="inlineStr"/>
    </row>
    <row r="21">
      <c r="A21" s="2" t="inlineStr">
        <is>
          <t>Page1.D</t>
        </is>
      </c>
      <c r="B21" s="2" t="inlineStr">
        <is>
          <t>Page1</t>
        </is>
      </c>
      <c r="C21" s="2" t="inlineStr">
        <is>
          <t>numericEdit</t>
        </is>
      </c>
      <c r="D21" s="2" t="inlineStr">
        <is>
          <t>decimal</t>
        </is>
      </c>
      <c r="E21" s="2" t="inlineStr">
        <is>
          <t>14</t>
        </is>
      </c>
      <c r="F21" s="2" t="inlineStr"/>
      <c r="G21" s="2" t="inlineStr">
        <is>
          <t>num{zzzzzzzzzzzzzz9.99}</t>
        </is>
      </c>
      <c r="H21" s="2" t="inlineStr">
        <is>
          <t>num{zzzzzzzzzzzzzz9.99}</t>
        </is>
      </c>
      <c r="I21" s="2" t="inlineStr">
        <is>
          <t>Read-only</t>
        </is>
      </c>
      <c r="J21" s="2" t="inlineStr">
        <is>
          <t>Yes</t>
        </is>
      </c>
      <c r="K21" s="2" t="inlineStr"/>
      <c r="L21" s="2" t="inlineStr"/>
      <c r="M21" s="2" t="inlineStr"/>
    </row>
    <row r="22">
      <c r="A22" s="2" t="inlineStr">
        <is>
          <t>Page1.E</t>
        </is>
      </c>
      <c r="B22" s="2" t="inlineStr">
        <is>
          <t>Page1</t>
        </is>
      </c>
      <c r="C22" s="2" t="inlineStr">
        <is>
          <t>numericEdit</t>
        </is>
      </c>
      <c r="D22" s="2" t="inlineStr">
        <is>
          <t>decimal</t>
        </is>
      </c>
      <c r="E22" s="2" t="inlineStr">
        <is>
          <t>14</t>
        </is>
      </c>
      <c r="F22" s="2" t="inlineStr"/>
      <c r="G22" s="2" t="inlineStr">
        <is>
          <t>num{zzzzzzzzzzzzzz9.99}</t>
        </is>
      </c>
      <c r="H22" s="2" t="inlineStr">
        <is>
          <t>num{zzzzzzzzzzzzzz9.99}</t>
        </is>
      </c>
      <c r="I22" s="2" t="inlineStr">
        <is>
          <t>Read-only</t>
        </is>
      </c>
      <c r="J22" s="2" t="inlineStr">
        <is>
          <t>Yes</t>
        </is>
      </c>
      <c r="K22" s="2" t="inlineStr"/>
      <c r="L22" s="2" t="inlineStr"/>
      <c r="M22" s="2" t="inlineStr"/>
    </row>
    <row r="23">
      <c r="A23" s="2" t="inlineStr">
        <is>
          <t>Page1.F</t>
        </is>
      </c>
      <c r="B23" s="2" t="inlineStr">
        <is>
          <t>Page1</t>
        </is>
      </c>
      <c r="C23" s="2" t="inlineStr">
        <is>
          <t>numericEdit</t>
        </is>
      </c>
      <c r="D23" s="2" t="inlineStr">
        <is>
          <t>decimal</t>
        </is>
      </c>
      <c r="E23" s="2" t="inlineStr">
        <is>
          <t>14</t>
        </is>
      </c>
      <c r="F23" s="2" t="inlineStr"/>
      <c r="G23" s="2" t="inlineStr">
        <is>
          <t>num{zzzzzzzzzzzzzz9.99}</t>
        </is>
      </c>
      <c r="H23" s="2" t="inlineStr">
        <is>
          <t>num{zzzzzzzzzzzzzz9.99}</t>
        </is>
      </c>
      <c r="I23" s="2" t="inlineStr">
        <is>
          <t>Editable</t>
        </is>
      </c>
      <c r="J23" s="2" t="inlineStr"/>
      <c r="K23" s="2" t="inlineStr"/>
      <c r="L23" s="2" t="inlineStr"/>
      <c r="M23" s="2" t="inlineStr"/>
    </row>
    <row r="24">
      <c r="A24" s="2" t="inlineStr">
        <is>
          <t>Page1.G</t>
        </is>
      </c>
      <c r="B24" s="2" t="inlineStr">
        <is>
          <t>Page1</t>
        </is>
      </c>
      <c r="C24" s="2" t="inlineStr">
        <is>
          <t>numericEdit</t>
        </is>
      </c>
      <c r="D24" s="2" t="inlineStr">
        <is>
          <t>decimal</t>
        </is>
      </c>
      <c r="E24" s="2" t="inlineStr">
        <is>
          <t>14</t>
        </is>
      </c>
      <c r="F24" s="2" t="inlineStr"/>
      <c r="G24" s="2" t="inlineStr">
        <is>
          <t>num{zzzzzzzzzzzzzz9.99}</t>
        </is>
      </c>
      <c r="H24" s="2" t="inlineStr">
        <is>
          <t>num{zzzzzzzzzzzzzz9.99}</t>
        </is>
      </c>
      <c r="I24" s="2" t="inlineStr">
        <is>
          <t>Editable</t>
        </is>
      </c>
      <c r="J24" s="2" t="inlineStr"/>
      <c r="K24" s="2" t="inlineStr"/>
      <c r="L24" s="2" t="inlineStr"/>
      <c r="M24" s="2" t="inlineStr"/>
    </row>
    <row r="25">
      <c r="A25" s="2" t="inlineStr">
        <is>
          <t>Page1.I</t>
        </is>
      </c>
      <c r="B25" s="2" t="inlineStr">
        <is>
          <t>Page1</t>
        </is>
      </c>
      <c r="C25" s="2" t="inlineStr">
        <is>
          <t>numericEdit</t>
        </is>
      </c>
      <c r="D25" s="2" t="inlineStr">
        <is>
          <t>decimal</t>
        </is>
      </c>
      <c r="E25" s="2" t="inlineStr">
        <is>
          <t>14</t>
        </is>
      </c>
      <c r="F25" s="2" t="inlineStr"/>
      <c r="G25" s="2" t="inlineStr">
        <is>
          <t>num{zzzzzzzzzzzzzz9.99}</t>
        </is>
      </c>
      <c r="H25" s="2" t="inlineStr">
        <is>
          <t>num{zzzzzzzzzzzzzz9.99}</t>
        </is>
      </c>
      <c r="I25" s="2" t="inlineStr">
        <is>
          <t>Editable</t>
        </is>
      </c>
      <c r="J25" s="2" t="inlineStr"/>
      <c r="K25" s="2" t="inlineStr"/>
      <c r="L25" s="2" t="inlineStr"/>
      <c r="M25" s="2" t="inlineStr"/>
    </row>
    <row r="26">
      <c r="A26" s="2" t="inlineStr">
        <is>
          <t>Page1.J</t>
        </is>
      </c>
      <c r="B26" s="2" t="inlineStr">
        <is>
          <t>Page1</t>
        </is>
      </c>
      <c r="C26" s="2" t="inlineStr">
        <is>
          <t>numericEdit</t>
        </is>
      </c>
      <c r="D26" s="2" t="inlineStr">
        <is>
          <t>decimal</t>
        </is>
      </c>
      <c r="E26" s="2" t="inlineStr">
        <is>
          <t>14</t>
        </is>
      </c>
      <c r="F26" s="2" t="inlineStr"/>
      <c r="G26" s="2" t="inlineStr">
        <is>
          <t>num{zzzzzzzzzzzzzz9.99}</t>
        </is>
      </c>
      <c r="H26" s="2" t="inlineStr">
        <is>
          <t>num{zzzzzzzzzzzzzz9.99}</t>
        </is>
      </c>
      <c r="I26" s="2" t="inlineStr">
        <is>
          <t>Editable</t>
        </is>
      </c>
      <c r="J26" s="2" t="inlineStr"/>
      <c r="K26" s="2" t="inlineStr"/>
      <c r="L26" s="2" t="inlineStr"/>
      <c r="M26" s="2" t="inlineStr"/>
    </row>
    <row r="27">
      <c r="A27" s="2" t="inlineStr">
        <is>
          <t>Page1.K</t>
        </is>
      </c>
      <c r="B27" s="2" t="inlineStr">
        <is>
          <t>Page1</t>
        </is>
      </c>
      <c r="C27" s="2" t="inlineStr">
        <is>
          <t>numericEdit</t>
        </is>
      </c>
      <c r="D27" s="2" t="inlineStr">
        <is>
          <t>decimal</t>
        </is>
      </c>
      <c r="E27" s="2" t="inlineStr">
        <is>
          <t>14</t>
        </is>
      </c>
      <c r="F27" s="2" t="inlineStr"/>
      <c r="G27" s="2" t="inlineStr">
        <is>
          <t>num{zzzzzzzzzzzzzz9.99}</t>
        </is>
      </c>
      <c r="H27" s="2" t="inlineStr">
        <is>
          <t>num{zzzzzzzzzzzzzz9.99}</t>
        </is>
      </c>
      <c r="I27" s="2" t="inlineStr">
        <is>
          <t>Editable</t>
        </is>
      </c>
      <c r="J27" s="2" t="inlineStr"/>
      <c r="K27" s="2" t="inlineStr"/>
      <c r="L27" s="2" t="inlineStr"/>
      <c r="M27" s="2" t="inlineStr"/>
    </row>
    <row r="28">
      <c r="A28" s="2" t="inlineStr">
        <is>
          <t>Page1.L</t>
        </is>
      </c>
      <c r="B28" s="2" t="inlineStr">
        <is>
          <t>Page1</t>
        </is>
      </c>
      <c r="C28" s="2" t="inlineStr">
        <is>
          <t>numericEdit</t>
        </is>
      </c>
      <c r="D28" s="2" t="inlineStr">
        <is>
          <t>decimal</t>
        </is>
      </c>
      <c r="E28" s="2" t="inlineStr">
        <is>
          <t>14</t>
        </is>
      </c>
      <c r="F28" s="2" t="inlineStr"/>
      <c r="G28" s="2" t="inlineStr">
        <is>
          <t>num{zzzzzzzzzzzzzz9.99}</t>
        </is>
      </c>
      <c r="H28" s="2" t="inlineStr">
        <is>
          <t>num{zzzzzzzzzzzzzz9.99}</t>
        </is>
      </c>
      <c r="I28" s="2" t="inlineStr">
        <is>
          <t>Editable</t>
        </is>
      </c>
      <c r="J28" s="2" t="inlineStr"/>
      <c r="K28" s="2" t="inlineStr"/>
      <c r="L28" s="2" t="inlineStr"/>
      <c r="M28" s="2" t="inlineStr"/>
    </row>
    <row r="29">
      <c r="A29" s="2" t="inlineStr">
        <is>
          <t>Page1.M</t>
        </is>
      </c>
      <c r="B29" s="2" t="inlineStr">
        <is>
          <t>Page1</t>
        </is>
      </c>
      <c r="C29" s="2" t="inlineStr">
        <is>
          <t>numericEdit</t>
        </is>
      </c>
      <c r="D29" s="2" t="inlineStr">
        <is>
          <t>decimal</t>
        </is>
      </c>
      <c r="E29" s="2" t="inlineStr">
        <is>
          <t>14</t>
        </is>
      </c>
      <c r="F29" s="2" t="inlineStr"/>
      <c r="G29" s="2" t="inlineStr">
        <is>
          <t>num{zzzzzzzzzzzzzz9.99}</t>
        </is>
      </c>
      <c r="H29" s="2" t="inlineStr">
        <is>
          <t>num{zzzzzzzzzzzzzz9.99}</t>
        </is>
      </c>
      <c r="I29" s="2" t="inlineStr">
        <is>
          <t>Read-only</t>
        </is>
      </c>
      <c r="J29" s="2" t="inlineStr">
        <is>
          <t>Yes</t>
        </is>
      </c>
      <c r="K29" s="2" t="inlineStr"/>
      <c r="L29" s="2" t="inlineStr"/>
      <c r="M29" s="2" t="inlineStr"/>
    </row>
    <row r="30">
      <c r="A30" s="2" t="inlineStr">
        <is>
          <t>Page1.N</t>
        </is>
      </c>
      <c r="B30" s="2" t="inlineStr">
        <is>
          <t>Page1</t>
        </is>
      </c>
      <c r="C30" s="2" t="inlineStr">
        <is>
          <t>numericEdit</t>
        </is>
      </c>
      <c r="D30" s="2" t="inlineStr">
        <is>
          <t>decimal</t>
        </is>
      </c>
      <c r="E30" s="2" t="inlineStr">
        <is>
          <t>14</t>
        </is>
      </c>
      <c r="F30" s="2" t="inlineStr"/>
      <c r="G30" s="2" t="inlineStr">
        <is>
          <t>num{zzzzzzzzzzzzzz9.99}</t>
        </is>
      </c>
      <c r="H30" s="2" t="inlineStr">
        <is>
          <t>num{zzzzzzzzzzzzzz9.99}</t>
        </is>
      </c>
      <c r="I30" s="2" t="inlineStr">
        <is>
          <t>Editable</t>
        </is>
      </c>
      <c r="J30" s="2" t="inlineStr"/>
      <c r="K30" s="2" t="inlineStr"/>
      <c r="L30" s="2" t="inlineStr"/>
      <c r="M30" s="2" t="inlineStr"/>
    </row>
    <row r="31">
      <c r="A31" s="2" t="inlineStr">
        <is>
          <t>Page1.Tin</t>
        </is>
      </c>
      <c r="B31" s="2" t="inlineStr">
        <is>
          <t>Page1</t>
        </is>
      </c>
      <c r="C31" s="2" t="inlineStr">
        <is>
          <t>numericEdit</t>
        </is>
      </c>
      <c r="D31" s="2" t="inlineStr"/>
      <c r="E31" s="2" t="inlineStr">
        <is>
          <t>7</t>
        </is>
      </c>
      <c r="F31" s="2" t="inlineStr"/>
      <c r="G31" s="2" t="inlineStr">
        <is>
          <t>num{zzzzzzzzzzzz9}</t>
        </is>
      </c>
      <c r="H31" s="2" t="inlineStr">
        <is>
          <t>num{zzzzzzzzzzzz9}</t>
        </is>
      </c>
      <c r="I31" s="2" t="inlineStr">
        <is>
          <t>Editable</t>
        </is>
      </c>
      <c r="J31" s="2" t="inlineStr"/>
      <c r="K31" s="2" t="inlineStr"/>
      <c r="L31" s="2" t="inlineStr"/>
      <c r="M31" s="2" t="inlineStr"/>
    </row>
    <row r="32">
      <c r="A32" s="2" t="inlineStr">
        <is>
          <t>Page1.H</t>
        </is>
      </c>
      <c r="B32" s="2" t="inlineStr">
        <is>
          <t>Page1</t>
        </is>
      </c>
      <c r="C32" s="2" t="inlineStr">
        <is>
          <t>numericEdit</t>
        </is>
      </c>
      <c r="D32" s="2" t="inlineStr">
        <is>
          <t>decimal</t>
        </is>
      </c>
      <c r="E32" s="2" t="inlineStr">
        <is>
          <t>14</t>
        </is>
      </c>
      <c r="F32" s="2" t="inlineStr"/>
      <c r="G32" s="2" t="inlineStr">
        <is>
          <t>num{zzzzzzzzzzzzzz9.99}</t>
        </is>
      </c>
      <c r="H32" s="2" t="inlineStr">
        <is>
          <t>num{zzzzzzzzzzzzzz9.99}</t>
        </is>
      </c>
      <c r="I32" s="2" t="inlineStr">
        <is>
          <t>Editable</t>
        </is>
      </c>
      <c r="J32" s="2" t="inlineStr"/>
      <c r="K32" s="2" t="inlineStr"/>
      <c r="L32" s="2" t="inlineStr"/>
      <c r="M32" s="2" t="inlineStr"/>
    </row>
    <row r="33">
      <c r="A33" s="2" t="inlineStr">
        <is>
          <t>Page1.AA1.nonresident</t>
        </is>
      </c>
      <c r="B33" s="2" t="inlineStr">
        <is>
          <t>Page1</t>
        </is>
      </c>
      <c r="C33" s="2" t="inlineStr">
        <is>
          <t>checkButton</t>
        </is>
      </c>
      <c r="D33" s="2" t="inlineStr">
        <is>
          <t>text</t>
        </is>
      </c>
      <c r="E33" s="2" t="inlineStr"/>
      <c r="F33" s="2" t="inlineStr"/>
      <c r="G33" s="2" t="inlineStr"/>
      <c r="H33" s="2" t="inlineStr"/>
      <c r="I33" s="2" t="inlineStr">
        <is>
          <t>Editable</t>
        </is>
      </c>
      <c r="J33" s="2" t="inlineStr"/>
      <c r="K33" s="2" t="inlineStr"/>
      <c r="L33" s="2" t="inlineStr"/>
      <c r="M33" s="2" t="inlineStr"/>
    </row>
    <row r="34">
      <c r="A34" s="2" t="inlineStr">
        <is>
          <t>Page1.AA1.tempresident</t>
        </is>
      </c>
      <c r="B34" s="2" t="inlineStr">
        <is>
          <t>Page1</t>
        </is>
      </c>
      <c r="C34" s="2" t="inlineStr">
        <is>
          <t>checkButton</t>
        </is>
      </c>
      <c r="D34" s="2" t="inlineStr">
        <is>
          <t>text</t>
        </is>
      </c>
      <c r="E34" s="2" t="inlineStr"/>
      <c r="F34" s="2" t="inlineStr"/>
      <c r="G34" s="2" t="inlineStr"/>
      <c r="H34" s="2" t="inlineStr"/>
      <c r="I34" s="2" t="inlineStr">
        <is>
          <t>Editable</t>
        </is>
      </c>
      <c r="J34" s="2" t="inlineStr"/>
      <c r="K34" s="2" t="inlineStr"/>
      <c r="L34" s="2" t="inlineStr"/>
      <c r="M34" s="2" t="inlineStr"/>
    </row>
    <row r="35">
      <c r="A35" s="2" t="inlineStr">
        <is>
          <t>Page1.AA1.resident</t>
        </is>
      </c>
      <c r="B35" s="2" t="inlineStr">
        <is>
          <t>Page1</t>
        </is>
      </c>
      <c r="C35" s="2" t="inlineStr">
        <is>
          <t>checkButton</t>
        </is>
      </c>
      <c r="D35" s="2" t="inlineStr">
        <is>
          <t>text</t>
        </is>
      </c>
      <c r="E35" s="2" t="inlineStr"/>
      <c r="F35" s="2" t="inlineStr"/>
      <c r="G35" s="2" t="inlineStr"/>
      <c r="H35" s="2" t="inlineStr"/>
      <c r="I35" s="2" t="inlineStr">
        <is>
          <t>Editable</t>
        </is>
      </c>
      <c r="J35" s="2" t="inlineStr"/>
      <c r="K35" s="2" t="inlineStr"/>
      <c r="L35" s="2" t="inlineStr"/>
      <c r="M35" s="2" t="inlineStr"/>
    </row>
    <row r="36">
      <c r="A36" s="2" t="inlineStr">
        <is>
          <t>Page1.PE</t>
        </is>
      </c>
      <c r="B36" s="2" t="inlineStr">
        <is>
          <t>Page1</t>
        </is>
      </c>
      <c r="C36" s="2" t="inlineStr">
        <is>
          <t>checkButton</t>
        </is>
      </c>
      <c r="D36" s="2" t="inlineStr">
        <is>
          <t>integer</t>
        </is>
      </c>
      <c r="E36" s="2" t="inlineStr"/>
      <c r="F36" s="2" t="inlineStr"/>
      <c r="G36" s="2" t="inlineStr"/>
      <c r="H36" s="2" t="inlineStr"/>
      <c r="I36" s="2" t="inlineStr">
        <is>
          <t>Editable</t>
        </is>
      </c>
      <c r="J36" s="2" t="inlineStr"/>
      <c r="K36" s="2" t="inlineStr">
        <is>
          <t>Yes</t>
        </is>
      </c>
      <c r="L36" s="2" t="inlineStr"/>
      <c r="M36" s="2" t="inlineStr"/>
    </row>
    <row r="37">
      <c r="A37" s="2" t="inlineStr">
        <is>
          <t>Page2.CheckBox1</t>
        </is>
      </c>
      <c r="B37" s="2" t="inlineStr">
        <is>
          <t>Page2</t>
        </is>
      </c>
      <c r="C37" s="2" t="inlineStr">
        <is>
          <t>checkButton</t>
        </is>
      </c>
      <c r="D37" s="2" t="inlineStr">
        <is>
          <t>integer</t>
        </is>
      </c>
      <c r="E37" s="2" t="inlineStr"/>
      <c r="F37" s="2" t="inlineStr"/>
      <c r="G37" s="2" t="inlineStr"/>
      <c r="H37" s="2" t="inlineStr"/>
      <c r="I37" s="2" t="inlineStr">
        <is>
          <t>Editable</t>
        </is>
      </c>
      <c r="J37" s="2" t="inlineStr"/>
      <c r="K37" s="2" t="inlineStr"/>
      <c r="L37" s="2" t="inlineStr"/>
      <c r="M37" s="2" t="inlineStr"/>
    </row>
    <row r="38">
      <c r="A38" s="2" t="inlineStr">
        <is>
          <t>Page2.CheckBox2</t>
        </is>
      </c>
      <c r="B38" s="2" t="inlineStr">
        <is>
          <t>Page2</t>
        </is>
      </c>
      <c r="C38" s="2" t="inlineStr">
        <is>
          <t>checkButton</t>
        </is>
      </c>
      <c r="D38" s="2" t="inlineStr">
        <is>
          <t>integer</t>
        </is>
      </c>
      <c r="E38" s="2" t="inlineStr"/>
      <c r="F38" s="2" t="inlineStr"/>
      <c r="G38" s="2" t="inlineStr"/>
      <c r="H38" s="2" t="inlineStr"/>
      <c r="I38" s="2" t="inlineStr">
        <is>
          <t>Editable</t>
        </is>
      </c>
      <c r="J38" s="2" t="inlineStr"/>
      <c r="K38" s="2" t="inlineStr"/>
      <c r="L38" s="2" t="inlineStr"/>
      <c r="M38" s="2" t="inlineStr"/>
    </row>
    <row r="39">
      <c r="A39" s="2" t="inlineStr">
        <is>
          <t>Page2.CheckBox2</t>
        </is>
      </c>
      <c r="B39" s="2" t="inlineStr">
        <is>
          <t>Page2</t>
        </is>
      </c>
      <c r="C39" s="2" t="inlineStr">
        <is>
          <t>checkButton</t>
        </is>
      </c>
      <c r="D39" s="2" t="inlineStr">
        <is>
          <t>integer</t>
        </is>
      </c>
      <c r="E39" s="2" t="inlineStr"/>
      <c r="F39" s="2" t="inlineStr"/>
      <c r="G39" s="2" t="inlineStr"/>
      <c r="H39" s="2" t="inlineStr"/>
      <c r="I39" s="2" t="inlineStr">
        <is>
          <t>Editable</t>
        </is>
      </c>
      <c r="J39" s="2" t="inlineStr"/>
      <c r="K39" s="2" t="inlineStr"/>
      <c r="L39" s="2" t="inlineStr"/>
      <c r="M39" s="2" t="inlineStr"/>
    </row>
    <row r="40">
      <c r="A40" s="2" t="inlineStr">
        <is>
          <t>Page2.CheckBox2</t>
        </is>
      </c>
      <c r="B40" s="2" t="inlineStr">
        <is>
          <t>Page2</t>
        </is>
      </c>
      <c r="C40" s="2" t="inlineStr">
        <is>
          <t>checkButton</t>
        </is>
      </c>
      <c r="D40" s="2" t="inlineStr">
        <is>
          <t>integer</t>
        </is>
      </c>
      <c r="E40" s="2" t="inlineStr"/>
      <c r="F40" s="2" t="inlineStr"/>
      <c r="G40" s="2" t="inlineStr"/>
      <c r="H40" s="2" t="inlineStr"/>
      <c r="I40" s="2" t="inlineStr">
        <is>
          <t>Editable</t>
        </is>
      </c>
      <c r="J40" s="2" t="inlineStr"/>
      <c r="K40" s="2" t="inlineStr"/>
      <c r="L40" s="2" t="inlineStr"/>
      <c r="M40" s="2" t="inlineStr"/>
    </row>
    <row r="41">
      <c r="A41" s="2" t="inlineStr">
        <is>
          <t>Page2.CheckBox2</t>
        </is>
      </c>
      <c r="B41" s="2" t="inlineStr">
        <is>
          <t>Page2</t>
        </is>
      </c>
      <c r="C41" s="2" t="inlineStr">
        <is>
          <t>checkButton</t>
        </is>
      </c>
      <c r="D41" s="2" t="inlineStr">
        <is>
          <t>integer</t>
        </is>
      </c>
      <c r="E41" s="2" t="inlineStr"/>
      <c r="F41" s="2" t="inlineStr"/>
      <c r="G41" s="2" t="inlineStr"/>
      <c r="H41" s="2" t="inlineStr"/>
      <c r="I41" s="2" t="inlineStr">
        <is>
          <t>Editable</t>
        </is>
      </c>
      <c r="J41" s="2" t="inlineStr"/>
      <c r="K41" s="2" t="inlineStr"/>
      <c r="L41" s="2" t="inlineStr"/>
      <c r="M41" s="2" t="inlineStr"/>
    </row>
    <row r="42">
      <c r="A42" s="2" t="inlineStr">
        <is>
          <t>Page2.CheckBox2</t>
        </is>
      </c>
      <c r="B42" s="2" t="inlineStr">
        <is>
          <t>Page2</t>
        </is>
      </c>
      <c r="C42" s="2" t="inlineStr">
        <is>
          <t>checkButton</t>
        </is>
      </c>
      <c r="D42" s="2" t="inlineStr">
        <is>
          <t>integer</t>
        </is>
      </c>
      <c r="E42" s="2" t="inlineStr"/>
      <c r="F42" s="2" t="inlineStr"/>
      <c r="G42" s="2" t="inlineStr"/>
      <c r="H42" s="2" t="inlineStr"/>
      <c r="I42" s="2" t="inlineStr">
        <is>
          <t>Editable</t>
        </is>
      </c>
      <c r="J42" s="2" t="inlineStr"/>
      <c r="K42" s="2" t="inlineStr"/>
      <c r="L42" s="2" t="inlineStr"/>
      <c r="M42" s="2" t="inlineStr"/>
    </row>
    <row r="43">
      <c r="A43" s="2" t="inlineStr">
        <is>
          <t>Page2.CheckBox2</t>
        </is>
      </c>
      <c r="B43" s="2" t="inlineStr">
        <is>
          <t>Page2</t>
        </is>
      </c>
      <c r="C43" s="2" t="inlineStr">
        <is>
          <t>checkButton</t>
        </is>
      </c>
      <c r="D43" s="2" t="inlineStr">
        <is>
          <t>integer</t>
        </is>
      </c>
      <c r="E43" s="2" t="inlineStr"/>
      <c r="F43" s="2" t="inlineStr"/>
      <c r="G43" s="2" t="inlineStr"/>
      <c r="H43" s="2" t="inlineStr"/>
      <c r="I43" s="2" t="inlineStr">
        <is>
          <t>Editable</t>
        </is>
      </c>
      <c r="J43" s="2" t="inlineStr"/>
      <c r="K43" s="2" t="inlineStr"/>
      <c r="L43" s="2" t="inlineStr"/>
      <c r="M43" s="2" t="inlineStr"/>
    </row>
    <row r="44">
      <c r="A44" s="2" t="inlineStr">
        <is>
          <t>Page2.CheckBox2</t>
        </is>
      </c>
      <c r="B44" s="2" t="inlineStr">
        <is>
          <t>Page2</t>
        </is>
      </c>
      <c r="C44" s="2" t="inlineStr">
        <is>
          <t>checkButton</t>
        </is>
      </c>
      <c r="D44" s="2" t="inlineStr">
        <is>
          <t>integer</t>
        </is>
      </c>
      <c r="E44" s="2" t="inlineStr"/>
      <c r="F44" s="2" t="inlineStr"/>
      <c r="G44" s="2" t="inlineStr"/>
      <c r="H44" s="2" t="inlineStr"/>
      <c r="I44" s="2" t="inlineStr">
        <is>
          <t>Editable</t>
        </is>
      </c>
      <c r="J44" s="2" t="inlineStr"/>
      <c r="K44" s="2" t="inlineStr"/>
      <c r="L44" s="2" t="inlineStr"/>
      <c r="M44" s="2" t="inlineStr"/>
    </row>
    <row r="45">
      <c r="A45" s="2" t="inlineStr">
        <is>
          <t>Page2.CheckBox2</t>
        </is>
      </c>
      <c r="B45" s="2" t="inlineStr">
        <is>
          <t>Page2</t>
        </is>
      </c>
      <c r="C45" s="2" t="inlineStr">
        <is>
          <t>checkButton</t>
        </is>
      </c>
      <c r="D45" s="2" t="inlineStr">
        <is>
          <t>integer</t>
        </is>
      </c>
      <c r="E45" s="2" t="inlineStr"/>
      <c r="F45" s="2" t="inlineStr"/>
      <c r="G45" s="2" t="inlineStr"/>
      <c r="H45" s="2" t="inlineStr"/>
      <c r="I45" s="2" t="inlineStr">
        <is>
          <t>Editable</t>
        </is>
      </c>
      <c r="J45" s="2" t="inlineStr"/>
      <c r="K45" s="2" t="inlineStr"/>
      <c r="L45" s="2" t="inlineStr"/>
      <c r="M45" s="2" t="inlineStr"/>
    </row>
    <row r="46">
      <c r="A46" s="2" t="inlineStr">
        <is>
          <t>Page2.CheckBox2</t>
        </is>
      </c>
      <c r="B46" s="2" t="inlineStr">
        <is>
          <t>Page2</t>
        </is>
      </c>
      <c r="C46" s="2" t="inlineStr">
        <is>
          <t>checkButton</t>
        </is>
      </c>
      <c r="D46" s="2" t="inlineStr">
        <is>
          <t>integer</t>
        </is>
      </c>
      <c r="E46" s="2" t="inlineStr"/>
      <c r="F46" s="2" t="inlineStr"/>
      <c r="G46" s="2" t="inlineStr"/>
      <c r="H46" s="2" t="inlineStr"/>
      <c r="I46" s="2" t="inlineStr">
        <is>
          <t>Editable</t>
        </is>
      </c>
      <c r="J46" s="2" t="inlineStr"/>
      <c r="K46" s="2" t="inlineStr"/>
      <c r="L46" s="2" t="inlineStr"/>
      <c r="M46" s="2" t="inlineStr"/>
    </row>
    <row r="47">
      <c r="A47" s="2" t="inlineStr">
        <is>
          <t>Page2.BI.b</t>
        </is>
      </c>
      <c r="B47" s="2" t="inlineStr">
        <is>
          <t>Page2</t>
        </is>
      </c>
      <c r="C47" s="2" t="inlineStr">
        <is>
          <t>checkButton</t>
        </is>
      </c>
      <c r="D47" s="2" t="inlineStr">
        <is>
          <t>text</t>
        </is>
      </c>
      <c r="E47" s="2" t="inlineStr"/>
      <c r="F47" s="2" t="inlineStr"/>
      <c r="G47" s="2" t="inlineStr"/>
      <c r="H47" s="2" t="inlineStr"/>
      <c r="I47" s="2" t="inlineStr">
        <is>
          <t>Editable</t>
        </is>
      </c>
      <c r="J47" s="2" t="inlineStr"/>
      <c r="K47" s="2" t="inlineStr"/>
      <c r="L47" s="2" t="inlineStr"/>
      <c r="M47" s="2" t="inlineStr"/>
    </row>
    <row r="48">
      <c r="A48" s="2" t="inlineStr">
        <is>
          <t>Page2.BI.a</t>
        </is>
      </c>
      <c r="B48" s="2" t="inlineStr">
        <is>
          <t>Page2</t>
        </is>
      </c>
      <c r="C48" s="2" t="inlineStr">
        <is>
          <t>checkButton</t>
        </is>
      </c>
      <c r="D48" s="2" t="inlineStr">
        <is>
          <t>text</t>
        </is>
      </c>
      <c r="E48" s="2" t="inlineStr"/>
      <c r="F48" s="2" t="inlineStr"/>
      <c r="G48" s="2" t="inlineStr"/>
      <c r="H48" s="2" t="inlineStr"/>
      <c r="I48" s="2" t="inlineStr">
        <is>
          <t>Editable</t>
        </is>
      </c>
      <c r="J48" s="2" t="inlineStr"/>
      <c r="K48" s="2" t="inlineStr"/>
      <c r="L48" s="2" t="inlineStr"/>
      <c r="M48" s="2" t="inlineStr"/>
    </row>
    <row r="49">
      <c r="A49" s="2" t="inlineStr">
        <is>
          <t>Page2.FCII-1-currency.FCII-a-a-mvr</t>
        </is>
      </c>
      <c r="B49" s="2" t="inlineStr">
        <is>
          <t>Page2</t>
        </is>
      </c>
      <c r="C49" s="2" t="inlineStr">
        <is>
          <t>checkButton</t>
        </is>
      </c>
      <c r="D49" s="2" t="inlineStr">
        <is>
          <t>text</t>
        </is>
      </c>
      <c r="E49" s="2" t="inlineStr"/>
      <c r="F49" s="2" t="inlineStr"/>
      <c r="G49" s="2" t="inlineStr"/>
      <c r="H49" s="2" t="inlineStr"/>
      <c r="I49" s="2" t="inlineStr">
        <is>
          <t>Editable</t>
        </is>
      </c>
      <c r="J49" s="2" t="inlineStr"/>
      <c r="K49" s="2" t="inlineStr"/>
      <c r="L49" s="2" t="inlineStr"/>
      <c r="M49" s="2" t="inlineStr"/>
    </row>
    <row r="50">
      <c r="A50" s="2" t="inlineStr">
        <is>
          <t>Page2.FCII-1-currency.FCII-a-a-usd</t>
        </is>
      </c>
      <c r="B50" s="2" t="inlineStr">
        <is>
          <t>Page2</t>
        </is>
      </c>
      <c r="C50" s="2" t="inlineStr">
        <is>
          <t>checkButton</t>
        </is>
      </c>
      <c r="D50" s="2" t="inlineStr">
        <is>
          <t>text</t>
        </is>
      </c>
      <c r="E50" s="2" t="inlineStr"/>
      <c r="F50" s="2" t="inlineStr"/>
      <c r="G50" s="2" t="inlineStr"/>
      <c r="H50" s="2" t="inlineStr"/>
      <c r="I50" s="2" t="inlineStr">
        <is>
          <t>Editable</t>
        </is>
      </c>
      <c r="J50" s="2" t="inlineStr"/>
      <c r="K50" s="2" t="inlineStr"/>
      <c r="L50" s="2" t="inlineStr"/>
      <c r="M50" s="2" t="inlineStr"/>
    </row>
    <row r="51">
      <c r="A51" s="2" t="inlineStr">
        <is>
          <t>Page2.FCII-1-currency.FCII-a-a-other</t>
        </is>
      </c>
      <c r="B51" s="2" t="inlineStr">
        <is>
          <t>Page2</t>
        </is>
      </c>
      <c r="C51" s="2" t="inlineStr">
        <is>
          <t>checkButton</t>
        </is>
      </c>
      <c r="D51" s="2" t="inlineStr">
        <is>
          <t>text</t>
        </is>
      </c>
      <c r="E51" s="2" t="inlineStr"/>
      <c r="F51" s="2" t="inlineStr"/>
      <c r="G51" s="2" t="inlineStr"/>
      <c r="H51" s="2" t="inlineStr"/>
      <c r="I51" s="2" t="inlineStr">
        <is>
          <t>Editable</t>
        </is>
      </c>
      <c r="J51" s="2" t="inlineStr"/>
      <c r="K51" s="2" t="inlineStr"/>
      <c r="L51" s="2" t="inlineStr"/>
      <c r="M51" s="2" t="inlineStr"/>
    </row>
    <row r="52">
      <c r="A52" s="2" t="inlineStr">
        <is>
          <t>Page2.FCII-1-currency.FCII-a-b-mvr</t>
        </is>
      </c>
      <c r="B52" s="2" t="inlineStr">
        <is>
          <t>Page2</t>
        </is>
      </c>
      <c r="C52" s="2" t="inlineStr">
        <is>
          <t>checkButton</t>
        </is>
      </c>
      <c r="D52" s="2" t="inlineStr"/>
      <c r="E52" s="2" t="inlineStr"/>
      <c r="F52" s="2" t="inlineStr"/>
      <c r="G52" s="2" t="inlineStr"/>
      <c r="H52" s="2" t="inlineStr"/>
      <c r="I52" s="2" t="inlineStr">
        <is>
          <t>Editable</t>
        </is>
      </c>
      <c r="J52" s="2" t="inlineStr"/>
      <c r="K52" s="2" t="inlineStr"/>
      <c r="L52" s="2" t="inlineStr"/>
      <c r="M52" s="2" t="inlineStr"/>
    </row>
    <row r="53">
      <c r="A53" s="2" t="inlineStr">
        <is>
          <t>Page2.FCII-1-currency.FCII-a-b-usd</t>
        </is>
      </c>
      <c r="B53" s="2" t="inlineStr">
        <is>
          <t>Page2</t>
        </is>
      </c>
      <c r="C53" s="2" t="inlineStr">
        <is>
          <t>checkButton</t>
        </is>
      </c>
      <c r="D53" s="2" t="inlineStr"/>
      <c r="E53" s="2" t="inlineStr"/>
      <c r="F53" s="2" t="inlineStr"/>
      <c r="G53" s="2" t="inlineStr"/>
      <c r="H53" s="2" t="inlineStr"/>
      <c r="I53" s="2" t="inlineStr">
        <is>
          <t>Editable</t>
        </is>
      </c>
      <c r="J53" s="2" t="inlineStr"/>
      <c r="K53" s="2" t="inlineStr"/>
      <c r="L53" s="2" t="inlineStr"/>
      <c r="M53" s="2" t="inlineStr"/>
    </row>
    <row r="54">
      <c r="A54" s="2" t="inlineStr">
        <is>
          <t>Page2.FCII-1-currency.FCII-a-d-mvr</t>
        </is>
      </c>
      <c r="B54" s="2" t="inlineStr">
        <is>
          <t>Page2</t>
        </is>
      </c>
      <c r="C54" s="2" t="inlineStr">
        <is>
          <t>checkButton</t>
        </is>
      </c>
      <c r="D54" s="2" t="inlineStr"/>
      <c r="E54" s="2" t="inlineStr"/>
      <c r="F54" s="2" t="inlineStr"/>
      <c r="G54" s="2" t="inlineStr"/>
      <c r="H54" s="2" t="inlineStr"/>
      <c r="I54" s="2" t="inlineStr">
        <is>
          <t>Editable</t>
        </is>
      </c>
      <c r="J54" s="2" t="inlineStr"/>
      <c r="K54" s="2" t="inlineStr"/>
      <c r="L54" s="2" t="inlineStr"/>
      <c r="M54" s="2" t="inlineStr"/>
    </row>
    <row r="55">
      <c r="A55" s="2" t="inlineStr">
        <is>
          <t>Page2.FCII-1-currency.FCII-a-d-usd</t>
        </is>
      </c>
      <c r="B55" s="2" t="inlineStr">
        <is>
          <t>Page2</t>
        </is>
      </c>
      <c r="C55" s="2" t="inlineStr">
        <is>
          <t>checkButton</t>
        </is>
      </c>
      <c r="D55" s="2" t="inlineStr"/>
      <c r="E55" s="2" t="inlineStr"/>
      <c r="F55" s="2" t="inlineStr"/>
      <c r="G55" s="2" t="inlineStr"/>
      <c r="H55" s="2" t="inlineStr"/>
      <c r="I55" s="2" t="inlineStr">
        <is>
          <t>Editable</t>
        </is>
      </c>
      <c r="J55" s="2" t="inlineStr"/>
      <c r="K55" s="2" t="inlineStr"/>
      <c r="L55" s="2" t="inlineStr"/>
      <c r="M55" s="2" t="inlineStr"/>
    </row>
    <row r="56">
      <c r="A56" s="2" t="inlineStr">
        <is>
          <t>Page2.FCII-1.FCII-a-a</t>
        </is>
      </c>
      <c r="B56" s="2" t="inlineStr">
        <is>
          <t>Page2</t>
        </is>
      </c>
      <c r="C56" s="2" t="inlineStr">
        <is>
          <t>checkButton</t>
        </is>
      </c>
      <c r="D56" s="2" t="inlineStr">
        <is>
          <t>text</t>
        </is>
      </c>
      <c r="E56" s="2" t="inlineStr"/>
      <c r="F56" s="2" t="inlineStr"/>
      <c r="G56" s="2" t="inlineStr"/>
      <c r="H56" s="2" t="inlineStr"/>
      <c r="I56" s="2" t="inlineStr">
        <is>
          <t>Editable</t>
        </is>
      </c>
      <c r="J56" s="2" t="inlineStr"/>
      <c r="K56" s="2" t="inlineStr"/>
      <c r="L56" s="2" t="inlineStr"/>
      <c r="M56" s="2" t="inlineStr"/>
    </row>
    <row r="57">
      <c r="A57" s="2" t="inlineStr">
        <is>
          <t>Page2.FCII-1.FCII-a-b</t>
        </is>
      </c>
      <c r="B57" s="2" t="inlineStr">
        <is>
          <t>Page2</t>
        </is>
      </c>
      <c r="C57" s="2" t="inlineStr">
        <is>
          <t>checkButton</t>
        </is>
      </c>
      <c r="D57" s="2" t="inlineStr">
        <is>
          <t>text</t>
        </is>
      </c>
      <c r="E57" s="2" t="inlineStr"/>
      <c r="F57" s="2" t="inlineStr"/>
      <c r="G57" s="2" t="inlineStr"/>
      <c r="H57" s="2" t="inlineStr"/>
      <c r="I57" s="2" t="inlineStr">
        <is>
          <t>Editable</t>
        </is>
      </c>
      <c r="J57" s="2" t="inlineStr"/>
      <c r="K57" s="2" t="inlineStr"/>
      <c r="L57" s="2" t="inlineStr"/>
      <c r="M57" s="2" t="inlineStr"/>
    </row>
    <row r="58">
      <c r="A58" s="2" t="inlineStr">
        <is>
          <t>Page2.FCII-1.FCII-a-c</t>
        </is>
      </c>
      <c r="B58" s="2" t="inlineStr">
        <is>
          <t>Page2</t>
        </is>
      </c>
      <c r="C58" s="2" t="inlineStr">
        <is>
          <t>checkButton</t>
        </is>
      </c>
      <c r="D58" s="2" t="inlineStr">
        <is>
          <t>text</t>
        </is>
      </c>
      <c r="E58" s="2" t="inlineStr"/>
      <c r="F58" s="2" t="inlineStr"/>
      <c r="G58" s="2" t="inlineStr"/>
      <c r="H58" s="2" t="inlineStr"/>
      <c r="I58" s="2" t="inlineStr">
        <is>
          <t>Editable</t>
        </is>
      </c>
      <c r="J58" s="2" t="inlineStr"/>
      <c r="K58" s="2" t="inlineStr"/>
      <c r="L58" s="2" t="inlineStr"/>
      <c r="M58" s="2" t="inlineStr"/>
    </row>
    <row r="59">
      <c r="A59" s="2" t="inlineStr">
        <is>
          <t>Page2.FCII-1.FCII-a-d</t>
        </is>
      </c>
      <c r="B59" s="2" t="inlineStr">
        <is>
          <t>Page2</t>
        </is>
      </c>
      <c r="C59" s="2" t="inlineStr">
        <is>
          <t>checkButton</t>
        </is>
      </c>
      <c r="D59" s="2" t="inlineStr"/>
      <c r="E59" s="2" t="inlineStr"/>
      <c r="F59" s="2" t="inlineStr"/>
      <c r="G59" s="2" t="inlineStr"/>
      <c r="H59" s="2" t="inlineStr"/>
      <c r="I59" s="2" t="inlineStr">
        <is>
          <t>Editable</t>
        </is>
      </c>
      <c r="J59" s="2" t="inlineStr"/>
      <c r="K59" s="2" t="inlineStr"/>
      <c r="L59" s="2" t="inlineStr"/>
      <c r="M59" s="2" t="inlineStr"/>
    </row>
    <row r="60">
      <c r="A60" s="2" t="inlineStr">
        <is>
          <t>Page2.FCII-a-othercurrency</t>
        </is>
      </c>
      <c r="B60" s="2" t="inlineStr">
        <is>
          <t>Page2</t>
        </is>
      </c>
      <c r="C60" s="2" t="inlineStr">
        <is>
          <t>textEdit</t>
        </is>
      </c>
      <c r="D60" s="2" t="inlineStr">
        <is>
          <t>text</t>
        </is>
      </c>
      <c r="E60" s="2" t="inlineStr"/>
      <c r="F60" s="2" t="inlineStr">
        <is>
          <t>50</t>
        </is>
      </c>
      <c r="G60" s="2" t="inlineStr"/>
      <c r="H60" s="2" t="inlineStr"/>
      <c r="I60" s="2" t="inlineStr">
        <is>
          <t>Editable</t>
        </is>
      </c>
      <c r="J60" s="2" t="inlineStr"/>
      <c r="K60" s="2" t="inlineStr"/>
      <c r="L60" s="2" t="inlineStr"/>
      <c r="M60" s="2" t="inlineStr"/>
    </row>
    <row r="61">
      <c r="A61" s="2" t="inlineStr">
        <is>
          <t>Page2.FCII-2.FCII-b-a</t>
        </is>
      </c>
      <c r="B61" s="2" t="inlineStr">
        <is>
          <t>Page2</t>
        </is>
      </c>
      <c r="C61" s="2" t="inlineStr">
        <is>
          <t>checkButton</t>
        </is>
      </c>
      <c r="D61" s="2" t="inlineStr">
        <is>
          <t>text</t>
        </is>
      </c>
      <c r="E61" s="2" t="inlineStr"/>
      <c r="F61" s="2" t="inlineStr"/>
      <c r="G61" s="2" t="inlineStr"/>
      <c r="H61" s="2" t="inlineStr"/>
      <c r="I61" s="2" t="inlineStr">
        <is>
          <t>Editable</t>
        </is>
      </c>
      <c r="J61" s="2" t="inlineStr"/>
      <c r="K61" s="2" t="inlineStr"/>
      <c r="L61" s="2" t="inlineStr"/>
      <c r="M61" s="2" t="inlineStr"/>
    </row>
    <row r="62">
      <c r="A62" s="2" t="inlineStr">
        <is>
          <t>Page2.FCII-2.FCII-b-b</t>
        </is>
      </c>
      <c r="B62" s="2" t="inlineStr">
        <is>
          <t>Page2</t>
        </is>
      </c>
      <c r="C62" s="2" t="inlineStr">
        <is>
          <t>checkButton</t>
        </is>
      </c>
      <c r="D62" s="2" t="inlineStr">
        <is>
          <t>text</t>
        </is>
      </c>
      <c r="E62" s="2" t="inlineStr"/>
      <c r="F62" s="2" t="inlineStr"/>
      <c r="G62" s="2" t="inlineStr"/>
      <c r="H62" s="2" t="inlineStr"/>
      <c r="I62" s="2" t="inlineStr">
        <is>
          <t>Editable</t>
        </is>
      </c>
      <c r="J62" s="2" t="inlineStr"/>
      <c r="K62" s="2" t="inlineStr"/>
      <c r="L62" s="2" t="inlineStr"/>
      <c r="M62" s="2" t="inlineStr"/>
    </row>
    <row r="63">
      <c r="A63" s="2" t="inlineStr">
        <is>
          <t>Page2.FCII-2.FCII-b-c</t>
        </is>
      </c>
      <c r="B63" s="2" t="inlineStr">
        <is>
          <t>Page2</t>
        </is>
      </c>
      <c r="C63" s="2" t="inlineStr">
        <is>
          <t>checkButton</t>
        </is>
      </c>
      <c r="D63" s="2" t="inlineStr">
        <is>
          <t>text</t>
        </is>
      </c>
      <c r="E63" s="2" t="inlineStr"/>
      <c r="F63" s="2" t="inlineStr"/>
      <c r="G63" s="2" t="inlineStr"/>
      <c r="H63" s="2" t="inlineStr"/>
      <c r="I63" s="2" t="inlineStr">
        <is>
          <t>Editable</t>
        </is>
      </c>
      <c r="J63" s="2" t="inlineStr"/>
      <c r="K63" s="2" t="inlineStr"/>
      <c r="L63" s="2" t="inlineStr"/>
      <c r="M63" s="2" t="inlineStr"/>
    </row>
    <row r="64">
      <c r="A64" s="2" t="inlineStr">
        <is>
          <t>Page2.FCII-2.FCII-b-d</t>
        </is>
      </c>
      <c r="B64" s="2" t="inlineStr">
        <is>
          <t>Page2</t>
        </is>
      </c>
      <c r="C64" s="2" t="inlineStr">
        <is>
          <t>checkButton</t>
        </is>
      </c>
      <c r="D64" s="2" t="inlineStr"/>
      <c r="E64" s="2" t="inlineStr"/>
      <c r="F64" s="2" t="inlineStr"/>
      <c r="G64" s="2" t="inlineStr"/>
      <c r="H64" s="2" t="inlineStr"/>
      <c r="I64" s="2" t="inlineStr">
        <is>
          <t>Editable</t>
        </is>
      </c>
      <c r="J64" s="2" t="inlineStr"/>
      <c r="K64" s="2" t="inlineStr"/>
      <c r="L64" s="2" t="inlineStr"/>
      <c r="M64" s="2" t="inlineStr"/>
    </row>
    <row r="65">
      <c r="A65" s="2" t="inlineStr">
        <is>
          <t>Page2.FCII-2-currency.FCII-b-a-mvr</t>
        </is>
      </c>
      <c r="B65" s="2" t="inlineStr">
        <is>
          <t>Page2</t>
        </is>
      </c>
      <c r="C65" s="2" t="inlineStr">
        <is>
          <t>checkButton</t>
        </is>
      </c>
      <c r="D65" s="2" t="inlineStr">
        <is>
          <t>text</t>
        </is>
      </c>
      <c r="E65" s="2" t="inlineStr"/>
      <c r="F65" s="2" t="inlineStr"/>
      <c r="G65" s="2" t="inlineStr"/>
      <c r="H65" s="2" t="inlineStr"/>
      <c r="I65" s="2" t="inlineStr">
        <is>
          <t>Editable</t>
        </is>
      </c>
      <c r="J65" s="2" t="inlineStr"/>
      <c r="K65" s="2" t="inlineStr"/>
      <c r="L65" s="2" t="inlineStr"/>
      <c r="M65" s="2" t="inlineStr"/>
    </row>
    <row r="66">
      <c r="A66" s="2" t="inlineStr">
        <is>
          <t>Page2.FCII-2-currency.FCII-b-a-usd</t>
        </is>
      </c>
      <c r="B66" s="2" t="inlineStr">
        <is>
          <t>Page2</t>
        </is>
      </c>
      <c r="C66" s="2" t="inlineStr">
        <is>
          <t>checkButton</t>
        </is>
      </c>
      <c r="D66" s="2" t="inlineStr">
        <is>
          <t>text</t>
        </is>
      </c>
      <c r="E66" s="2" t="inlineStr"/>
      <c r="F66" s="2" t="inlineStr"/>
      <c r="G66" s="2" t="inlineStr"/>
      <c r="H66" s="2" t="inlineStr"/>
      <c r="I66" s="2" t="inlineStr">
        <is>
          <t>Editable</t>
        </is>
      </c>
      <c r="J66" s="2" t="inlineStr"/>
      <c r="K66" s="2" t="inlineStr"/>
      <c r="L66" s="2" t="inlineStr"/>
      <c r="M66" s="2" t="inlineStr"/>
    </row>
    <row r="67">
      <c r="A67" s="2" t="inlineStr">
        <is>
          <t>Page2.FCII-2-currency.FCII-b-a-other</t>
        </is>
      </c>
      <c r="B67" s="2" t="inlineStr">
        <is>
          <t>Page2</t>
        </is>
      </c>
      <c r="C67" s="2" t="inlineStr">
        <is>
          <t>checkButton</t>
        </is>
      </c>
      <c r="D67" s="2" t="inlineStr">
        <is>
          <t>text</t>
        </is>
      </c>
      <c r="E67" s="2" t="inlineStr"/>
      <c r="F67" s="2" t="inlineStr"/>
      <c r="G67" s="2" t="inlineStr"/>
      <c r="H67" s="2" t="inlineStr"/>
      <c r="I67" s="2" t="inlineStr">
        <is>
          <t>Editable</t>
        </is>
      </c>
      <c r="J67" s="2" t="inlineStr"/>
      <c r="K67" s="2" t="inlineStr"/>
      <c r="L67" s="2" t="inlineStr"/>
      <c r="M67" s="2" t="inlineStr"/>
    </row>
    <row r="68">
      <c r="A68" s="2" t="inlineStr">
        <is>
          <t>Page2.FCII-2-currency.FCII-b-c-mvr</t>
        </is>
      </c>
      <c r="B68" s="2" t="inlineStr">
        <is>
          <t>Page2</t>
        </is>
      </c>
      <c r="C68" s="2" t="inlineStr">
        <is>
          <t>checkButton</t>
        </is>
      </c>
      <c r="D68" s="2" t="inlineStr"/>
      <c r="E68" s="2" t="inlineStr"/>
      <c r="F68" s="2" t="inlineStr"/>
      <c r="G68" s="2" t="inlineStr"/>
      <c r="H68" s="2" t="inlineStr"/>
      <c r="I68" s="2" t="inlineStr">
        <is>
          <t>Editable</t>
        </is>
      </c>
      <c r="J68" s="2" t="inlineStr"/>
      <c r="K68" s="2" t="inlineStr"/>
      <c r="L68" s="2" t="inlineStr"/>
      <c r="M68" s="2" t="inlineStr"/>
    </row>
    <row r="69">
      <c r="A69" s="2" t="inlineStr">
        <is>
          <t>Page2.FCII-2-currency.FCII-b-c-usd</t>
        </is>
      </c>
      <c r="B69" s="2" t="inlineStr">
        <is>
          <t>Page2</t>
        </is>
      </c>
      <c r="C69" s="2" t="inlineStr">
        <is>
          <t>checkButton</t>
        </is>
      </c>
      <c r="D69" s="2" t="inlineStr"/>
      <c r="E69" s="2" t="inlineStr"/>
      <c r="F69" s="2" t="inlineStr"/>
      <c r="G69" s="2" t="inlineStr"/>
      <c r="H69" s="2" t="inlineStr"/>
      <c r="I69" s="2" t="inlineStr">
        <is>
          <t>Editable</t>
        </is>
      </c>
      <c r="J69" s="2" t="inlineStr"/>
      <c r="K69" s="2" t="inlineStr"/>
      <c r="L69" s="2" t="inlineStr"/>
      <c r="M69" s="2" t="inlineStr"/>
    </row>
    <row r="70">
      <c r="A70" s="2" t="inlineStr">
        <is>
          <t>Page2.FCII-2-currency.FCII-b-d-mvr</t>
        </is>
      </c>
      <c r="B70" s="2" t="inlineStr">
        <is>
          <t>Page2</t>
        </is>
      </c>
      <c r="C70" s="2" t="inlineStr">
        <is>
          <t>checkButton</t>
        </is>
      </c>
      <c r="D70" s="2" t="inlineStr"/>
      <c r="E70" s="2" t="inlineStr"/>
      <c r="F70" s="2" t="inlineStr"/>
      <c r="G70" s="2" t="inlineStr"/>
      <c r="H70" s="2" t="inlineStr"/>
      <c r="I70" s="2" t="inlineStr">
        <is>
          <t>Editable</t>
        </is>
      </c>
      <c r="J70" s="2" t="inlineStr"/>
      <c r="K70" s="2" t="inlineStr"/>
      <c r="L70" s="2" t="inlineStr"/>
      <c r="M70" s="2" t="inlineStr"/>
    </row>
    <row r="71">
      <c r="A71" s="2" t="inlineStr">
        <is>
          <t>Page2.FCII-2-currency.FCII-b-d-usd</t>
        </is>
      </c>
      <c r="B71" s="2" t="inlineStr">
        <is>
          <t>Page2</t>
        </is>
      </c>
      <c r="C71" s="2" t="inlineStr">
        <is>
          <t>checkButton</t>
        </is>
      </c>
      <c r="D71" s="2" t="inlineStr"/>
      <c r="E71" s="2" t="inlineStr"/>
      <c r="F71" s="2" t="inlineStr"/>
      <c r="G71" s="2" t="inlineStr"/>
      <c r="H71" s="2" t="inlineStr"/>
      <c r="I71" s="2" t="inlineStr">
        <is>
          <t>Editable</t>
        </is>
      </c>
      <c r="J71" s="2" t="inlineStr"/>
      <c r="K71" s="2" t="inlineStr"/>
      <c r="L71" s="2" t="inlineStr"/>
      <c r="M71" s="2" t="inlineStr"/>
    </row>
    <row r="72">
      <c r="A72" s="2" t="inlineStr">
        <is>
          <t>Page2.FCII-b-othercurrency</t>
        </is>
      </c>
      <c r="B72" s="2" t="inlineStr">
        <is>
          <t>Page2</t>
        </is>
      </c>
      <c r="C72" s="2" t="inlineStr">
        <is>
          <t>textEdit</t>
        </is>
      </c>
      <c r="D72" s="2" t="inlineStr">
        <is>
          <t>text</t>
        </is>
      </c>
      <c r="E72" s="2" t="inlineStr"/>
      <c r="F72" s="2" t="inlineStr">
        <is>
          <t>50</t>
        </is>
      </c>
      <c r="G72" s="2" t="inlineStr"/>
      <c r="H72" s="2" t="inlineStr"/>
      <c r="I72" s="2" t="inlineStr">
        <is>
          <t>Editable</t>
        </is>
      </c>
      <c r="J72" s="2" t="inlineStr"/>
      <c r="K72" s="2" t="inlineStr"/>
      <c r="L72" s="2" t="inlineStr"/>
      <c r="M72" s="2" t="inlineStr"/>
    </row>
    <row r="73">
      <c r="A73" s="2" t="inlineStr">
        <is>
          <t>Page2.FCII-3.FCII-b-a</t>
        </is>
      </c>
      <c r="B73" s="2" t="inlineStr">
        <is>
          <t>Page2</t>
        </is>
      </c>
      <c r="C73" s="2" t="inlineStr">
        <is>
          <t>checkButton</t>
        </is>
      </c>
      <c r="D73" s="2" t="inlineStr">
        <is>
          <t>text</t>
        </is>
      </c>
      <c r="E73" s="2" t="inlineStr"/>
      <c r="F73" s="2" t="inlineStr"/>
      <c r="G73" s="2" t="inlineStr"/>
      <c r="H73" s="2" t="inlineStr"/>
      <c r="I73" s="2" t="inlineStr">
        <is>
          <t>Editable</t>
        </is>
      </c>
      <c r="J73" s="2" t="inlineStr"/>
      <c r="K73" s="2" t="inlineStr"/>
      <c r="L73" s="2" t="inlineStr"/>
      <c r="M73" s="2" t="inlineStr"/>
    </row>
    <row r="74">
      <c r="A74" s="2" t="inlineStr">
        <is>
          <t>Page2.FCII-3.FCII-b-b</t>
        </is>
      </c>
      <c r="B74" s="2" t="inlineStr">
        <is>
          <t>Page2</t>
        </is>
      </c>
      <c r="C74" s="2" t="inlineStr">
        <is>
          <t>checkButton</t>
        </is>
      </c>
      <c r="D74" s="2" t="inlineStr">
        <is>
          <t>text</t>
        </is>
      </c>
      <c r="E74" s="2" t="inlineStr"/>
      <c r="F74" s="2" t="inlineStr"/>
      <c r="G74" s="2" t="inlineStr"/>
      <c r="H74" s="2" t="inlineStr"/>
      <c r="I74" s="2" t="inlineStr">
        <is>
          <t>Editable</t>
        </is>
      </c>
      <c r="J74" s="2" t="inlineStr"/>
      <c r="K74" s="2" t="inlineStr"/>
      <c r="L74" s="2" t="inlineStr"/>
      <c r="M74" s="2" t="inlineStr"/>
    </row>
    <row r="75">
      <c r="A75" s="2" t="inlineStr">
        <is>
          <t>Page2.FCII-3.FCII-b-c</t>
        </is>
      </c>
      <c r="B75" s="2" t="inlineStr">
        <is>
          <t>Page2</t>
        </is>
      </c>
      <c r="C75" s="2" t="inlineStr">
        <is>
          <t>checkButton</t>
        </is>
      </c>
      <c r="D75" s="2" t="inlineStr">
        <is>
          <t>text</t>
        </is>
      </c>
      <c r="E75" s="2" t="inlineStr"/>
      <c r="F75" s="2" t="inlineStr"/>
      <c r="G75" s="2" t="inlineStr"/>
      <c r="H75" s="2" t="inlineStr"/>
      <c r="I75" s="2" t="inlineStr">
        <is>
          <t>Editable</t>
        </is>
      </c>
      <c r="J75" s="2" t="inlineStr"/>
      <c r="K75" s="2" t="inlineStr"/>
      <c r="L75" s="2" t="inlineStr"/>
      <c r="M75" s="2" t="inlineStr"/>
    </row>
    <row r="76">
      <c r="A76" s="2" t="inlineStr">
        <is>
          <t>Page2.FCII-3.FCII-b-d</t>
        </is>
      </c>
      <c r="B76" s="2" t="inlineStr">
        <is>
          <t>Page2</t>
        </is>
      </c>
      <c r="C76" s="2" t="inlineStr">
        <is>
          <t>checkButton</t>
        </is>
      </c>
      <c r="D76" s="2" t="inlineStr"/>
      <c r="E76" s="2" t="inlineStr"/>
      <c r="F76" s="2" t="inlineStr"/>
      <c r="G76" s="2" t="inlineStr"/>
      <c r="H76" s="2" t="inlineStr"/>
      <c r="I76" s="2" t="inlineStr">
        <is>
          <t>Editable</t>
        </is>
      </c>
      <c r="J76" s="2" t="inlineStr"/>
      <c r="K76" s="2" t="inlineStr"/>
      <c r="L76" s="2" t="inlineStr"/>
      <c r="M76" s="2" t="inlineStr"/>
    </row>
    <row r="77">
      <c r="A77" s="2" t="inlineStr">
        <is>
          <t>Page2.FCII-3-currency.FCII-b-e-mvr</t>
        </is>
      </c>
      <c r="B77" s="2" t="inlineStr">
        <is>
          <t>Page2</t>
        </is>
      </c>
      <c r="C77" s="2" t="inlineStr">
        <is>
          <t>checkButton</t>
        </is>
      </c>
      <c r="D77" s="2" t="inlineStr">
        <is>
          <t>text</t>
        </is>
      </c>
      <c r="E77" s="2" t="inlineStr"/>
      <c r="F77" s="2" t="inlineStr"/>
      <c r="G77" s="2" t="inlineStr"/>
      <c r="H77" s="2" t="inlineStr"/>
      <c r="I77" s="2" t="inlineStr">
        <is>
          <t>Editable</t>
        </is>
      </c>
      <c r="J77" s="2" t="inlineStr"/>
      <c r="K77" s="2" t="inlineStr"/>
      <c r="L77" s="2" t="inlineStr"/>
      <c r="M77" s="2" t="inlineStr"/>
    </row>
    <row r="78">
      <c r="A78" s="2" t="inlineStr">
        <is>
          <t>Page2.FCII-3-currency.FCII-b-e-usd</t>
        </is>
      </c>
      <c r="B78" s="2" t="inlineStr">
        <is>
          <t>Page2</t>
        </is>
      </c>
      <c r="C78" s="2" t="inlineStr">
        <is>
          <t>checkButton</t>
        </is>
      </c>
      <c r="D78" s="2" t="inlineStr">
        <is>
          <t>text</t>
        </is>
      </c>
      <c r="E78" s="2" t="inlineStr"/>
      <c r="F78" s="2" t="inlineStr"/>
      <c r="G78" s="2" t="inlineStr"/>
      <c r="H78" s="2" t="inlineStr"/>
      <c r="I78" s="2" t="inlineStr">
        <is>
          <t>Editable</t>
        </is>
      </c>
      <c r="J78" s="2" t="inlineStr"/>
      <c r="K78" s="2" t="inlineStr"/>
      <c r="L78" s="2" t="inlineStr"/>
      <c r="M78" s="2" t="inlineStr"/>
    </row>
    <row r="79">
      <c r="A79" s="2" t="inlineStr">
        <is>
          <t>Page2.FCII-3-currency.FCII-b-e-other</t>
        </is>
      </c>
      <c r="B79" s="2" t="inlineStr">
        <is>
          <t>Page2</t>
        </is>
      </c>
      <c r="C79" s="2" t="inlineStr">
        <is>
          <t>checkButton</t>
        </is>
      </c>
      <c r="D79" s="2" t="inlineStr">
        <is>
          <t>text</t>
        </is>
      </c>
      <c r="E79" s="2" t="inlineStr"/>
      <c r="F79" s="2" t="inlineStr"/>
      <c r="G79" s="2" t="inlineStr"/>
      <c r="H79" s="2" t="inlineStr"/>
      <c r="I79" s="2" t="inlineStr">
        <is>
          <t>Editable</t>
        </is>
      </c>
      <c r="J79" s="2" t="inlineStr"/>
      <c r="K79" s="2" t="inlineStr"/>
      <c r="L79" s="2" t="inlineStr"/>
      <c r="M79" s="2" t="inlineStr"/>
    </row>
    <row r="80">
      <c r="A80" s="2" t="inlineStr">
        <is>
          <t>Page2.FCII-3-currency.FCII-b-g-mvr</t>
        </is>
      </c>
      <c r="B80" s="2" t="inlineStr">
        <is>
          <t>Page2</t>
        </is>
      </c>
      <c r="C80" s="2" t="inlineStr">
        <is>
          <t>checkButton</t>
        </is>
      </c>
      <c r="D80" s="2" t="inlineStr"/>
      <c r="E80" s="2" t="inlineStr"/>
      <c r="F80" s="2" t="inlineStr"/>
      <c r="G80" s="2" t="inlineStr"/>
      <c r="H80" s="2" t="inlineStr"/>
      <c r="I80" s="2" t="inlineStr">
        <is>
          <t>Editable</t>
        </is>
      </c>
      <c r="J80" s="2" t="inlineStr"/>
      <c r="K80" s="2" t="inlineStr"/>
      <c r="L80" s="2" t="inlineStr"/>
      <c r="M80" s="2" t="inlineStr"/>
    </row>
    <row r="81">
      <c r="A81" s="2" t="inlineStr">
        <is>
          <t>Page2.FCII-3-currency.FCII-b-g-usd</t>
        </is>
      </c>
      <c r="B81" s="2" t="inlineStr">
        <is>
          <t>Page2</t>
        </is>
      </c>
      <c r="C81" s="2" t="inlineStr">
        <is>
          <t>checkButton</t>
        </is>
      </c>
      <c r="D81" s="2" t="inlineStr"/>
      <c r="E81" s="2" t="inlineStr"/>
      <c r="F81" s="2" t="inlineStr"/>
      <c r="G81" s="2" t="inlineStr"/>
      <c r="H81" s="2" t="inlineStr"/>
      <c r="I81" s="2" t="inlineStr">
        <is>
          <t>Editable</t>
        </is>
      </c>
      <c r="J81" s="2" t="inlineStr"/>
      <c r="K81" s="2" t="inlineStr"/>
      <c r="L81" s="2" t="inlineStr"/>
      <c r="M81" s="2" t="inlineStr"/>
    </row>
    <row r="82">
      <c r="A82" s="2" t="inlineStr">
        <is>
          <t>Page2.FCII-3-currency.FCII-b-h-mvr</t>
        </is>
      </c>
      <c r="B82" s="2" t="inlineStr">
        <is>
          <t>Page2</t>
        </is>
      </c>
      <c r="C82" s="2" t="inlineStr">
        <is>
          <t>checkButton</t>
        </is>
      </c>
      <c r="D82" s="2" t="inlineStr"/>
      <c r="E82" s="2" t="inlineStr"/>
      <c r="F82" s="2" t="inlineStr"/>
      <c r="G82" s="2" t="inlineStr"/>
      <c r="H82" s="2" t="inlineStr"/>
      <c r="I82" s="2" t="inlineStr">
        <is>
          <t>Editable</t>
        </is>
      </c>
      <c r="J82" s="2" t="inlineStr"/>
      <c r="K82" s="2" t="inlineStr"/>
      <c r="L82" s="2" t="inlineStr"/>
      <c r="M82" s="2" t="inlineStr"/>
    </row>
    <row r="83">
      <c r="A83" s="2" t="inlineStr">
        <is>
          <t>Page2.FCII-3-currency.FCII-b-h-usd</t>
        </is>
      </c>
      <c r="B83" s="2" t="inlineStr">
        <is>
          <t>Page2</t>
        </is>
      </c>
      <c r="C83" s="2" t="inlineStr">
        <is>
          <t>checkButton</t>
        </is>
      </c>
      <c r="D83" s="2" t="inlineStr"/>
      <c r="E83" s="2" t="inlineStr"/>
      <c r="F83" s="2" t="inlineStr"/>
      <c r="G83" s="2" t="inlineStr"/>
      <c r="H83" s="2" t="inlineStr"/>
      <c r="I83" s="2" t="inlineStr">
        <is>
          <t>Editable</t>
        </is>
      </c>
      <c r="J83" s="2" t="inlineStr"/>
      <c r="K83" s="2" t="inlineStr"/>
      <c r="L83" s="2" t="inlineStr"/>
      <c r="M83" s="2" t="inlineStr"/>
    </row>
    <row r="84">
      <c r="A84" s="2" t="inlineStr">
        <is>
          <t>Page2.FCII-b-othercurrency-</t>
        </is>
      </c>
      <c r="B84" s="2" t="inlineStr">
        <is>
          <t>Page2</t>
        </is>
      </c>
      <c r="C84" s="2" t="inlineStr">
        <is>
          <t>textEdit</t>
        </is>
      </c>
      <c r="D84" s="2" t="inlineStr">
        <is>
          <t>text</t>
        </is>
      </c>
      <c r="E84" s="2" t="inlineStr"/>
      <c r="F84" s="2" t="inlineStr">
        <is>
          <t>50</t>
        </is>
      </c>
      <c r="G84" s="2" t="inlineStr"/>
      <c r="H84" s="2" t="inlineStr"/>
      <c r="I84" s="2" t="inlineStr">
        <is>
          <t>Editable</t>
        </is>
      </c>
      <c r="J84" s="2" t="inlineStr"/>
      <c r="K84" s="2" t="inlineStr"/>
      <c r="L84" s="2" t="inlineStr"/>
      <c r="M84" s="2" t="inlineStr"/>
    </row>
    <row r="85">
      <c r="A85" s="2" t="inlineStr">
        <is>
          <t>Page2.functionalcurrency-currentyear.FC-OTHER</t>
        </is>
      </c>
      <c r="B85" s="2" t="inlineStr">
        <is>
          <t>Page2</t>
        </is>
      </c>
      <c r="C85" s="2" t="inlineStr">
        <is>
          <t>checkButton</t>
        </is>
      </c>
      <c r="D85" s="2" t="inlineStr">
        <is>
          <t>text</t>
        </is>
      </c>
      <c r="E85" s="2" t="inlineStr"/>
      <c r="F85" s="2" t="inlineStr"/>
      <c r="G85" s="2" t="inlineStr"/>
      <c r="H85" s="2" t="inlineStr"/>
      <c r="I85" s="2" t="inlineStr">
        <is>
          <t>Editable</t>
        </is>
      </c>
      <c r="J85" s="2" t="inlineStr"/>
      <c r="K85" s="2" t="inlineStr"/>
      <c r="L85" s="2" t="inlineStr"/>
      <c r="M85" s="2" t="inlineStr"/>
    </row>
    <row r="86">
      <c r="A86" s="2" t="inlineStr">
        <is>
          <t>Page2.functionalcurrency-currentyear.FC-USD</t>
        </is>
      </c>
      <c r="B86" s="2" t="inlineStr">
        <is>
          <t>Page2</t>
        </is>
      </c>
      <c r="C86" s="2" t="inlineStr">
        <is>
          <t>checkButton</t>
        </is>
      </c>
      <c r="D86" s="2" t="inlineStr">
        <is>
          <t>text</t>
        </is>
      </c>
      <c r="E86" s="2" t="inlineStr"/>
      <c r="F86" s="2" t="inlineStr"/>
      <c r="G86" s="2" t="inlineStr"/>
      <c r="H86" s="2" t="inlineStr"/>
      <c r="I86" s="2" t="inlineStr">
        <is>
          <t>Editable</t>
        </is>
      </c>
      <c r="J86" s="2" t="inlineStr"/>
      <c r="K86" s="2" t="inlineStr"/>
      <c r="L86" s="2" t="inlineStr"/>
      <c r="M86" s="2" t="inlineStr"/>
    </row>
    <row r="87">
      <c r="A87" s="2" t="inlineStr">
        <is>
          <t>Page2.functionalcurrency-currentyear.FC-MVR</t>
        </is>
      </c>
      <c r="B87" s="2" t="inlineStr">
        <is>
          <t>Page2</t>
        </is>
      </c>
      <c r="C87" s="2" t="inlineStr">
        <is>
          <t>checkButton</t>
        </is>
      </c>
      <c r="D87" s="2" t="inlineStr">
        <is>
          <t>text</t>
        </is>
      </c>
      <c r="E87" s="2" t="inlineStr"/>
      <c r="F87" s="2" t="inlineStr"/>
      <c r="G87" s="2" t="inlineStr"/>
      <c r="H87" s="2" t="inlineStr"/>
      <c r="I87" s="2" t="inlineStr">
        <is>
          <t>Editable</t>
        </is>
      </c>
      <c r="J87" s="2" t="inlineStr"/>
      <c r="K87" s="2" t="inlineStr"/>
      <c r="L87" s="2" t="inlineStr"/>
      <c r="M87" s="2" t="inlineStr"/>
    </row>
    <row r="88">
      <c r="A88" s="2" t="inlineStr">
        <is>
          <t>Page2.BIII2.b</t>
        </is>
      </c>
      <c r="B88" s="2" t="inlineStr">
        <is>
          <t>Page2</t>
        </is>
      </c>
      <c r="C88" s="2" t="inlineStr">
        <is>
          <t>checkButton</t>
        </is>
      </c>
      <c r="D88" s="2" t="inlineStr">
        <is>
          <t>text</t>
        </is>
      </c>
      <c r="E88" s="2" t="inlineStr"/>
      <c r="F88" s="2" t="inlineStr"/>
      <c r="G88" s="2" t="inlineStr"/>
      <c r="H88" s="2" t="inlineStr"/>
      <c r="I88" s="2" t="inlineStr">
        <is>
          <t>Editable</t>
        </is>
      </c>
      <c r="J88" s="2" t="inlineStr"/>
      <c r="K88" s="2" t="inlineStr"/>
      <c r="L88" s="2" t="inlineStr"/>
      <c r="M88" s="2" t="inlineStr"/>
    </row>
    <row r="89">
      <c r="A89" s="2" t="inlineStr">
        <is>
          <t>Page2.BIII2.a</t>
        </is>
      </c>
      <c r="B89" s="2" t="inlineStr">
        <is>
          <t>Page2</t>
        </is>
      </c>
      <c r="C89" s="2" t="inlineStr">
        <is>
          <t>checkButton</t>
        </is>
      </c>
      <c r="D89" s="2" t="inlineStr">
        <is>
          <t>text</t>
        </is>
      </c>
      <c r="E89" s="2" t="inlineStr"/>
      <c r="F89" s="2" t="inlineStr"/>
      <c r="G89" s="2" t="inlineStr"/>
      <c r="H89" s="2" t="inlineStr"/>
      <c r="I89" s="2" t="inlineStr">
        <is>
          <t>Editable</t>
        </is>
      </c>
      <c r="J89" s="2" t="inlineStr"/>
      <c r="K89" s="2" t="inlineStr"/>
      <c r="L89" s="2" t="inlineStr"/>
      <c r="M89" s="2" t="inlineStr"/>
    </row>
    <row r="90">
      <c r="A90" s="2" t="inlineStr">
        <is>
          <t>Page2.BIV.b</t>
        </is>
      </c>
      <c r="B90" s="2" t="inlineStr">
        <is>
          <t>Page2</t>
        </is>
      </c>
      <c r="C90" s="2" t="inlineStr">
        <is>
          <t>checkButton</t>
        </is>
      </c>
      <c r="D90" s="2" t="inlineStr">
        <is>
          <t>text</t>
        </is>
      </c>
      <c r="E90" s="2" t="inlineStr"/>
      <c r="F90" s="2" t="inlineStr"/>
      <c r="G90" s="2" t="inlineStr"/>
      <c r="H90" s="2" t="inlineStr"/>
      <c r="I90" s="2" t="inlineStr">
        <is>
          <t>Editable</t>
        </is>
      </c>
      <c r="J90" s="2" t="inlineStr"/>
      <c r="K90" s="2" t="inlineStr"/>
      <c r="L90" s="2" t="inlineStr"/>
      <c r="M90" s="2" t="inlineStr"/>
    </row>
    <row r="91">
      <c r="A91" s="2" t="inlineStr">
        <is>
          <t>Page2.BIV.b</t>
        </is>
      </c>
      <c r="B91" s="2" t="inlineStr">
        <is>
          <t>Page2</t>
        </is>
      </c>
      <c r="C91" s="2" t="inlineStr">
        <is>
          <t>checkButton</t>
        </is>
      </c>
      <c r="D91" s="2" t="inlineStr">
        <is>
          <t>text</t>
        </is>
      </c>
      <c r="E91" s="2" t="inlineStr"/>
      <c r="F91" s="2" t="inlineStr"/>
      <c r="G91" s="2" t="inlineStr"/>
      <c r="H91" s="2" t="inlineStr"/>
      <c r="I91" s="2" t="inlineStr">
        <is>
          <t>Editable</t>
        </is>
      </c>
      <c r="J91" s="2" t="inlineStr"/>
      <c r="K91" s="2" t="inlineStr"/>
      <c r="L91" s="2" t="inlineStr"/>
      <c r="M91" s="2" t="inlineStr"/>
    </row>
    <row r="92">
      <c r="A92" s="2" t="inlineStr">
        <is>
          <t>Page2.BIV.b</t>
        </is>
      </c>
      <c r="B92" s="2" t="inlineStr">
        <is>
          <t>Page2</t>
        </is>
      </c>
      <c r="C92" s="2" t="inlineStr">
        <is>
          <t>checkButton</t>
        </is>
      </c>
      <c r="D92" s="2" t="inlineStr">
        <is>
          <t>text</t>
        </is>
      </c>
      <c r="E92" s="2" t="inlineStr"/>
      <c r="F92" s="2" t="inlineStr"/>
      <c r="G92" s="2" t="inlineStr"/>
      <c r="H92" s="2" t="inlineStr"/>
      <c r="I92" s="2" t="inlineStr">
        <is>
          <t>Editable</t>
        </is>
      </c>
      <c r="J92" s="2" t="inlineStr"/>
      <c r="K92" s="2" t="inlineStr"/>
      <c r="L92" s="2" t="inlineStr"/>
      <c r="M92" s="2" t="inlineStr"/>
    </row>
    <row r="93">
      <c r="A93" s="2" t="inlineStr">
        <is>
          <t>Page2.BIV.b</t>
        </is>
      </c>
      <c r="B93" s="2" t="inlineStr">
        <is>
          <t>Page2</t>
        </is>
      </c>
      <c r="C93" s="2" t="inlineStr">
        <is>
          <t>checkButton</t>
        </is>
      </c>
      <c r="D93" s="2" t="inlineStr">
        <is>
          <t>text</t>
        </is>
      </c>
      <c r="E93" s="2" t="inlineStr"/>
      <c r="F93" s="2" t="inlineStr"/>
      <c r="G93" s="2" t="inlineStr"/>
      <c r="H93" s="2" t="inlineStr"/>
      <c r="I93" s="2" t="inlineStr">
        <is>
          <t>Editable</t>
        </is>
      </c>
      <c r="J93" s="2" t="inlineStr"/>
      <c r="K93" s="2" t="inlineStr"/>
      <c r="L93" s="2" t="inlineStr"/>
      <c r="M93" s="2" t="inlineStr"/>
    </row>
    <row r="94">
      <c r="A94" s="2" t="inlineStr">
        <is>
          <t>Page2.BIV.b</t>
        </is>
      </c>
      <c r="B94" s="2" t="inlineStr">
        <is>
          <t>Page2</t>
        </is>
      </c>
      <c r="C94" s="2" t="inlineStr">
        <is>
          <t>checkButton</t>
        </is>
      </c>
      <c r="D94" s="2" t="inlineStr">
        <is>
          <t>text</t>
        </is>
      </c>
      <c r="E94" s="2" t="inlineStr"/>
      <c r="F94" s="2" t="inlineStr"/>
      <c r="G94" s="2" t="inlineStr"/>
      <c r="H94" s="2" t="inlineStr"/>
      <c r="I94" s="2" t="inlineStr">
        <is>
          <t>Editable</t>
        </is>
      </c>
      <c r="J94" s="2" t="inlineStr"/>
      <c r="K94" s="2" t="inlineStr"/>
      <c r="L94" s="2" t="inlineStr"/>
      <c r="M94" s="2" t="inlineStr"/>
    </row>
    <row r="95">
      <c r="A95" s="2" t="inlineStr">
        <is>
          <t>Page3.BV.b</t>
        </is>
      </c>
      <c r="B95" s="2" t="inlineStr">
        <is>
          <t>Page3</t>
        </is>
      </c>
      <c r="C95" s="2" t="inlineStr">
        <is>
          <t>checkButton</t>
        </is>
      </c>
      <c r="D95" s="2" t="inlineStr">
        <is>
          <t>text</t>
        </is>
      </c>
      <c r="E95" s="2" t="inlineStr"/>
      <c r="F95" s="2" t="inlineStr"/>
      <c r="G95" s="2" t="inlineStr"/>
      <c r="H95" s="2" t="inlineStr"/>
      <c r="I95" s="2" t="inlineStr">
        <is>
          <t>Editable</t>
        </is>
      </c>
      <c r="J95" s="2" t="inlineStr"/>
      <c r="K95" s="2" t="inlineStr"/>
      <c r="L95" s="2" t="inlineStr"/>
      <c r="M95" s="2" t="inlineStr"/>
    </row>
    <row r="96">
      <c r="A96" s="2" t="inlineStr">
        <is>
          <t>Page3.BV.b</t>
        </is>
      </c>
      <c r="B96" s="2" t="inlineStr">
        <is>
          <t>Page3</t>
        </is>
      </c>
      <c r="C96" s="2" t="inlineStr">
        <is>
          <t>checkButton</t>
        </is>
      </c>
      <c r="D96" s="2" t="inlineStr">
        <is>
          <t>text</t>
        </is>
      </c>
      <c r="E96" s="2" t="inlineStr"/>
      <c r="F96" s="2" t="inlineStr"/>
      <c r="G96" s="2" t="inlineStr"/>
      <c r="H96" s="2" t="inlineStr"/>
      <c r="I96" s="2" t="inlineStr">
        <is>
          <t>Editable</t>
        </is>
      </c>
      <c r="J96" s="2" t="inlineStr"/>
      <c r="K96" s="2" t="inlineStr"/>
      <c r="L96" s="2" t="inlineStr"/>
      <c r="M96" s="2" t="inlineStr"/>
    </row>
    <row r="97">
      <c r="A97" s="2" t="inlineStr">
        <is>
          <t>Page3.BV.a</t>
        </is>
      </c>
      <c r="B97" s="2" t="inlineStr">
        <is>
          <t>Page3</t>
        </is>
      </c>
      <c r="C97" s="2" t="inlineStr">
        <is>
          <t>checkButton</t>
        </is>
      </c>
      <c r="D97" s="2" t="inlineStr">
        <is>
          <t>text</t>
        </is>
      </c>
      <c r="E97" s="2" t="inlineStr"/>
      <c r="F97" s="2" t="inlineStr"/>
      <c r="G97" s="2" t="inlineStr"/>
      <c r="H97" s="2" t="inlineStr"/>
      <c r="I97" s="2" t="inlineStr">
        <is>
          <t>Editable</t>
        </is>
      </c>
      <c r="J97" s="2" t="inlineStr"/>
      <c r="K97" s="2" t="inlineStr"/>
      <c r="L97" s="2" t="inlineStr"/>
      <c r="M97" s="2" t="inlineStr"/>
    </row>
    <row r="98">
      <c r="A98" s="2" t="inlineStr">
        <is>
          <t>Page3.recordkeepCheckBox2</t>
        </is>
      </c>
      <c r="B98" s="2" t="inlineStr">
        <is>
          <t>Page3</t>
        </is>
      </c>
      <c r="C98" s="2" t="inlineStr">
        <is>
          <t>checkButton</t>
        </is>
      </c>
      <c r="D98" s="2" t="inlineStr">
        <is>
          <t>integer</t>
        </is>
      </c>
      <c r="E98" s="2" t="inlineStr"/>
      <c r="F98" s="2" t="inlineStr"/>
      <c r="G98" s="2" t="inlineStr"/>
      <c r="H98" s="2" t="inlineStr"/>
      <c r="I98" s="2" t="inlineStr">
        <is>
          <t>Editable</t>
        </is>
      </c>
      <c r="J98" s="2" t="inlineStr"/>
      <c r="K98" s="2" t="inlineStr"/>
      <c r="L98" s="2" t="inlineStr"/>
      <c r="M98" s="2" t="inlineStr"/>
    </row>
    <row r="99">
      <c r="A99" s="2" t="inlineStr">
        <is>
          <t>Page3.recordkeepCheckBox1</t>
        </is>
      </c>
      <c r="B99" s="2" t="inlineStr">
        <is>
          <t>Page3</t>
        </is>
      </c>
      <c r="C99" s="2" t="inlineStr">
        <is>
          <t>checkButton</t>
        </is>
      </c>
      <c r="D99" s="2" t="inlineStr">
        <is>
          <t>integer</t>
        </is>
      </c>
      <c r="E99" s="2" t="inlineStr"/>
      <c r="F99" s="2" t="inlineStr"/>
      <c r="G99" s="2" t="inlineStr"/>
      <c r="H99" s="2" t="inlineStr"/>
      <c r="I99" s="2" t="inlineStr">
        <is>
          <t>Editable</t>
        </is>
      </c>
      <c r="J99" s="2" t="inlineStr"/>
      <c r="K99" s="2" t="inlineStr"/>
      <c r="L99" s="2" t="inlineStr"/>
      <c r="M99" s="2" t="inlineStr"/>
    </row>
    <row r="100">
      <c r="A100" s="2" t="inlineStr">
        <is>
          <t>Page3.B65A</t>
        </is>
      </c>
      <c r="B100" s="2" t="inlineStr">
        <is>
          <t>Page3</t>
        </is>
      </c>
      <c r="C100" s="2" t="inlineStr">
        <is>
          <t>numericEdit</t>
        </is>
      </c>
      <c r="D100" s="2" t="inlineStr"/>
      <c r="E100" s="2" t="inlineStr">
        <is>
          <t>6</t>
        </is>
      </c>
      <c r="F100" s="2" t="inlineStr"/>
      <c r="G100" s="2" t="inlineStr"/>
      <c r="H100" s="2" t="inlineStr">
        <is>
          <t>num{zzzzzzzzzzzz9}</t>
        </is>
      </c>
      <c r="I100" s="2" t="inlineStr">
        <is>
          <t>Editable</t>
        </is>
      </c>
      <c r="J100" s="2" t="inlineStr"/>
      <c r="K100" s="2" t="inlineStr"/>
      <c r="L100" s="2" t="inlineStr"/>
      <c r="M100" s="2" t="inlineStr"/>
    </row>
    <row r="101">
      <c r="A101" s="2" t="inlineStr">
        <is>
          <t>Page3.B65B</t>
        </is>
      </c>
      <c r="B101" s="2" t="inlineStr">
        <is>
          <t>Page3</t>
        </is>
      </c>
      <c r="C101" s="2" t="inlineStr">
        <is>
          <t>numericEdit</t>
        </is>
      </c>
      <c r="D101" s="2" t="inlineStr"/>
      <c r="E101" s="2" t="inlineStr">
        <is>
          <t>6</t>
        </is>
      </c>
      <c r="F101" s="2" t="inlineStr"/>
      <c r="G101" s="2" t="inlineStr"/>
      <c r="H101" s="2" t="inlineStr">
        <is>
          <t>num{zzzzzzzzzzzz9}</t>
        </is>
      </c>
      <c r="I101" s="2" t="inlineStr">
        <is>
          <t>Editable</t>
        </is>
      </c>
      <c r="J101" s="2" t="inlineStr"/>
      <c r="K101" s="2" t="inlineStr"/>
      <c r="L101" s="2" t="inlineStr"/>
      <c r="M101" s="2" t="inlineStr"/>
    </row>
    <row r="102">
      <c r="A102" s="2" t="inlineStr">
        <is>
          <t>Page3.ThinCap1</t>
        </is>
      </c>
      <c r="B102" s="2" t="inlineStr">
        <is>
          <t>Page3</t>
        </is>
      </c>
      <c r="C102" s="2" t="inlineStr">
        <is>
          <t>checkButton</t>
        </is>
      </c>
      <c r="D102" s="2" t="inlineStr">
        <is>
          <t>integer</t>
        </is>
      </c>
      <c r="E102" s="2" t="inlineStr"/>
      <c r="F102" s="2" t="inlineStr"/>
      <c r="G102" s="2" t="inlineStr"/>
      <c r="H102" s="2" t="inlineStr"/>
      <c r="I102" s="2" t="inlineStr">
        <is>
          <t>Editable</t>
        </is>
      </c>
      <c r="J102" s="2" t="inlineStr"/>
      <c r="K102" s="2" t="inlineStr"/>
      <c r="L102" s="2" t="inlineStr"/>
      <c r="M102" s="2" t="inlineStr"/>
    </row>
    <row r="103">
      <c r="A103" s="2" t="inlineStr">
        <is>
          <t>Page3.ThinCap2</t>
        </is>
      </c>
      <c r="B103" s="2" t="inlineStr">
        <is>
          <t>Page3</t>
        </is>
      </c>
      <c r="C103" s="2" t="inlineStr">
        <is>
          <t>checkButton</t>
        </is>
      </c>
      <c r="D103" s="2" t="inlineStr">
        <is>
          <t>integer</t>
        </is>
      </c>
      <c r="E103" s="2" t="inlineStr"/>
      <c r="F103" s="2" t="inlineStr"/>
      <c r="G103" s="2" t="inlineStr"/>
      <c r="H103" s="2" t="inlineStr"/>
      <c r="I103" s="2" t="inlineStr">
        <is>
          <t>Editable</t>
        </is>
      </c>
      <c r="J103" s="2" t="inlineStr"/>
      <c r="K103" s="2" t="inlineStr"/>
      <c r="L103" s="2" t="inlineStr"/>
      <c r="M103" s="2" t="inlineStr"/>
    </row>
    <row r="104">
      <c r="A104" s="2" t="inlineStr">
        <is>
          <t>Page3.ThinCap3</t>
        </is>
      </c>
      <c r="B104" s="2" t="inlineStr">
        <is>
          <t>Page3</t>
        </is>
      </c>
      <c r="C104" s="2" t="inlineStr">
        <is>
          <t>checkButton</t>
        </is>
      </c>
      <c r="D104" s="2" t="inlineStr">
        <is>
          <t>integer</t>
        </is>
      </c>
      <c r="E104" s="2" t="inlineStr"/>
      <c r="F104" s="2" t="inlineStr"/>
      <c r="G104" s="2" t="inlineStr"/>
      <c r="H104" s="2" t="inlineStr"/>
      <c r="I104" s="2" t="inlineStr">
        <is>
          <t>Editable</t>
        </is>
      </c>
      <c r="J104" s="2" t="inlineStr"/>
      <c r="K104" s="2" t="inlineStr"/>
      <c r="L104" s="2" t="inlineStr"/>
      <c r="M104" s="2" t="inlineStr"/>
    </row>
    <row r="105">
      <c r="A105" s="2" t="inlineStr">
        <is>
          <t>Page3.ThinCap4</t>
        </is>
      </c>
      <c r="B105" s="2" t="inlineStr">
        <is>
          <t>Page3</t>
        </is>
      </c>
      <c r="C105" s="2" t="inlineStr">
        <is>
          <t>checkButton</t>
        </is>
      </c>
      <c r="D105" s="2" t="inlineStr">
        <is>
          <t>integer</t>
        </is>
      </c>
      <c r="E105" s="2" t="inlineStr"/>
      <c r="F105" s="2" t="inlineStr"/>
      <c r="G105" s="2" t="inlineStr"/>
      <c r="H105" s="2" t="inlineStr"/>
      <c r="I105" s="2" t="inlineStr">
        <is>
          <t>Editable</t>
        </is>
      </c>
      <c r="J105" s="2" t="inlineStr"/>
      <c r="K105" s="2" t="inlineStr"/>
      <c r="L105" s="2" t="inlineStr"/>
      <c r="M105" s="2" t="inlineStr"/>
    </row>
    <row r="106">
      <c r="A106" s="2" t="inlineStr">
        <is>
          <t>Page3.S11r.a</t>
        </is>
      </c>
      <c r="B106" s="2" t="inlineStr">
        <is>
          <t>Page3</t>
        </is>
      </c>
      <c r="C106" s="2" t="inlineStr">
        <is>
          <t>checkButton</t>
        </is>
      </c>
      <c r="D106" s="2" t="inlineStr"/>
      <c r="E106" s="2" t="inlineStr"/>
      <c r="F106" s="2" t="inlineStr"/>
      <c r="G106" s="2" t="inlineStr"/>
      <c r="H106" s="2" t="inlineStr"/>
      <c r="I106" s="2" t="inlineStr">
        <is>
          <t>Editable</t>
        </is>
      </c>
      <c r="J106" s="2" t="inlineStr"/>
      <c r="K106" s="2" t="inlineStr"/>
      <c r="L106" s="2" t="inlineStr"/>
      <c r="M106" s="2" t="inlineStr"/>
    </row>
    <row r="107">
      <c r="A107" s="2" t="inlineStr">
        <is>
          <t>Page3.S11r.b</t>
        </is>
      </c>
      <c r="B107" s="2" t="inlineStr">
        <is>
          <t>Page3</t>
        </is>
      </c>
      <c r="C107" s="2" t="inlineStr">
        <is>
          <t>checkButton</t>
        </is>
      </c>
      <c r="D107" s="2" t="inlineStr"/>
      <c r="E107" s="2" t="inlineStr"/>
      <c r="F107" s="2" t="inlineStr"/>
      <c r="G107" s="2" t="inlineStr"/>
      <c r="H107" s="2" t="inlineStr"/>
      <c r="I107" s="2" t="inlineStr">
        <is>
          <t>Editable</t>
        </is>
      </c>
      <c r="J107" s="2" t="inlineStr"/>
      <c r="K107" s="2" t="inlineStr"/>
      <c r="L107" s="2" t="inlineStr"/>
      <c r="M107" s="2" t="inlineStr"/>
    </row>
    <row r="108">
      <c r="A108" s="2" t="inlineStr">
        <is>
          <t>Page3.VIX</t>
        </is>
      </c>
      <c r="B108" s="2" t="inlineStr">
        <is>
          <t>Page3</t>
        </is>
      </c>
      <c r="C108" s="2" t="inlineStr">
        <is>
          <t>checkButton</t>
        </is>
      </c>
      <c r="D108" s="2" t="inlineStr">
        <is>
          <t>text</t>
        </is>
      </c>
      <c r="E108" s="2" t="inlineStr"/>
      <c r="F108" s="2" t="inlineStr"/>
      <c r="G108" s="2" t="inlineStr"/>
      <c r="H108" s="2" t="inlineStr"/>
      <c r="I108" s="2" t="inlineStr">
        <is>
          <t>Editable</t>
        </is>
      </c>
      <c r="J108" s="2" t="inlineStr"/>
      <c r="K108" s="2" t="inlineStr"/>
      <c r="L108" s="2" t="inlineStr"/>
      <c r="M108" s="2" t="inlineStr"/>
    </row>
    <row r="109">
      <c r="A109" s="2" t="inlineStr">
        <is>
          <t>Page3.VIX</t>
        </is>
      </c>
      <c r="B109" s="2" t="inlineStr">
        <is>
          <t>Page3</t>
        </is>
      </c>
      <c r="C109" s="2" t="inlineStr">
        <is>
          <t>checkButton</t>
        </is>
      </c>
      <c r="D109" s="2" t="inlineStr">
        <is>
          <t>text</t>
        </is>
      </c>
      <c r="E109" s="2" t="inlineStr"/>
      <c r="F109" s="2" t="inlineStr"/>
      <c r="G109" s="2" t="inlineStr"/>
      <c r="H109" s="2" t="inlineStr"/>
      <c r="I109" s="2" t="inlineStr">
        <is>
          <t>Editable</t>
        </is>
      </c>
      <c r="J109" s="2" t="inlineStr"/>
      <c r="K109" s="2" t="inlineStr"/>
      <c r="L109" s="2" t="inlineStr"/>
      <c r="M109" s="2" t="inlineStr"/>
    </row>
    <row r="110">
      <c r="A110" s="2" t="inlineStr">
        <is>
          <t>Page3.TextField1</t>
        </is>
      </c>
      <c r="B110" s="2" t="inlineStr">
        <is>
          <t>Page3</t>
        </is>
      </c>
      <c r="C110" s="2" t="inlineStr">
        <is>
          <t>textEdit</t>
        </is>
      </c>
      <c r="D110" s="2" t="inlineStr"/>
      <c r="E110" s="2" t="inlineStr"/>
      <c r="F110" s="2" t="inlineStr"/>
      <c r="G110" s="2" t="inlineStr"/>
      <c r="H110" s="2" t="inlineStr"/>
      <c r="I110" s="2" t="inlineStr">
        <is>
          <t>Editable</t>
        </is>
      </c>
      <c r="J110" s="2" t="inlineStr"/>
      <c r="K110" s="2" t="inlineStr"/>
      <c r="L110" s="2" t="inlineStr"/>
      <c r="M110" s="2" t="inlineStr"/>
    </row>
    <row r="111">
      <c r="A111" s="2" t="inlineStr">
        <is>
          <t>Page3.TextField1</t>
        </is>
      </c>
      <c r="B111" s="2" t="inlineStr">
        <is>
          <t>Page3</t>
        </is>
      </c>
      <c r="C111" s="2" t="inlineStr">
        <is>
          <t>textEdit</t>
        </is>
      </c>
      <c r="D111" s="2" t="inlineStr"/>
      <c r="E111" s="2" t="inlineStr"/>
      <c r="F111" s="2" t="inlineStr"/>
      <c r="G111" s="2" t="inlineStr"/>
      <c r="H111" s="2" t="inlineStr"/>
      <c r="I111" s="2" t="inlineStr">
        <is>
          <t>Editable</t>
        </is>
      </c>
      <c r="J111" s="2" t="inlineStr"/>
      <c r="K111" s="2" t="inlineStr"/>
      <c r="L111" s="2" t="inlineStr"/>
      <c r="M111" s="2" t="inlineStr"/>
    </row>
    <row r="112">
      <c r="A112" s="2" t="inlineStr">
        <is>
          <t>Page3.CheckBoxX</t>
        </is>
      </c>
      <c r="B112" s="2" t="inlineStr">
        <is>
          <t>Page3</t>
        </is>
      </c>
      <c r="C112" s="2" t="inlineStr">
        <is>
          <t>checkButton</t>
        </is>
      </c>
      <c r="D112" s="2" t="inlineStr">
        <is>
          <t>integer</t>
        </is>
      </c>
      <c r="E112" s="2" t="inlineStr"/>
      <c r="F112" s="2" t="inlineStr"/>
      <c r="G112" s="2" t="inlineStr"/>
      <c r="H112" s="2" t="inlineStr"/>
      <c r="I112" s="2" t="inlineStr">
        <is>
          <t>Editable</t>
        </is>
      </c>
      <c r="J112" s="2" t="inlineStr"/>
      <c r="K112" s="2" t="inlineStr"/>
      <c r="L112" s="2" t="inlineStr"/>
      <c r="M112" s="2" t="inlineStr"/>
    </row>
    <row r="113">
      <c r="A113" s="2" t="inlineStr">
        <is>
          <t>Page3.NumericField14</t>
        </is>
      </c>
      <c r="B113" s="2" t="inlineStr">
        <is>
          <t>Page3</t>
        </is>
      </c>
      <c r="C113" s="2" t="inlineStr">
        <is>
          <t>numericEdit</t>
        </is>
      </c>
      <c r="D113" s="2" t="inlineStr"/>
      <c r="E113" s="2" t="inlineStr">
        <is>
          <t>7</t>
        </is>
      </c>
      <c r="F113" s="2" t="inlineStr"/>
      <c r="G113" s="2" t="inlineStr"/>
      <c r="H113" s="2" t="inlineStr">
        <is>
          <t>num{zzzzzzzzzzzz9}</t>
        </is>
      </c>
      <c r="I113" s="2" t="inlineStr">
        <is>
          <t>Editable</t>
        </is>
      </c>
      <c r="J113" s="2" t="inlineStr"/>
      <c r="K113" s="2" t="inlineStr"/>
      <c r="L113" s="2" t="inlineStr"/>
      <c r="M113" s="2" t="inlineStr"/>
    </row>
    <row r="114">
      <c r="A114" s="2" t="inlineStr">
        <is>
          <t>Page3.TextField1</t>
        </is>
      </c>
      <c r="B114" s="2" t="inlineStr">
        <is>
          <t>Page3</t>
        </is>
      </c>
      <c r="C114" s="2" t="inlineStr">
        <is>
          <t>textEdit</t>
        </is>
      </c>
      <c r="D114" s="2" t="inlineStr"/>
      <c r="E114" s="2" t="inlineStr"/>
      <c r="F114" s="2" t="inlineStr"/>
      <c r="G114" s="2" t="inlineStr"/>
      <c r="H114" s="2" t="inlineStr"/>
      <c r="I114" s="2" t="inlineStr">
        <is>
          <t>Editable</t>
        </is>
      </c>
      <c r="J114" s="2" t="inlineStr"/>
      <c r="K114" s="2" t="inlineStr"/>
      <c r="L114" s="2" t="inlineStr"/>
      <c r="M114" s="2" t="inlineStr"/>
    </row>
    <row r="115">
      <c r="A115" s="2" t="inlineStr">
        <is>
          <t>Page3.TextField1</t>
        </is>
      </c>
      <c r="B115" s="2" t="inlineStr">
        <is>
          <t>Page3</t>
        </is>
      </c>
      <c r="C115" s="2" t="inlineStr">
        <is>
          <t>textEdit</t>
        </is>
      </c>
      <c r="D115" s="2" t="inlineStr"/>
      <c r="E115" s="2" t="inlineStr"/>
      <c r="F115" s="2" t="inlineStr"/>
      <c r="G115" s="2" t="inlineStr"/>
      <c r="H115" s="2" t="inlineStr"/>
      <c r="I115" s="2" t="inlineStr">
        <is>
          <t>Editable</t>
        </is>
      </c>
      <c r="J115" s="2" t="inlineStr"/>
      <c r="K115" s="2" t="inlineStr"/>
      <c r="L115" s="2" t="inlineStr"/>
      <c r="M115" s="2" t="inlineStr"/>
    </row>
    <row r="116">
      <c r="A116" s="2" t="inlineStr">
        <is>
          <t>Page3.NumericField1</t>
        </is>
      </c>
      <c r="B116" s="2" t="inlineStr">
        <is>
          <t>Page3</t>
        </is>
      </c>
      <c r="C116" s="2" t="inlineStr">
        <is>
          <t>numericEdit</t>
        </is>
      </c>
      <c r="D116" s="2" t="inlineStr"/>
      <c r="E116" s="2" t="inlineStr"/>
      <c r="F116" s="2" t="inlineStr"/>
      <c r="G116" s="2" t="inlineStr"/>
      <c r="H116" s="2" t="inlineStr"/>
      <c r="I116" s="2" t="inlineStr">
        <is>
          <t>Editable</t>
        </is>
      </c>
      <c r="J116" s="2" t="inlineStr"/>
      <c r="K116" s="2" t="inlineStr"/>
      <c r="L116" s="2" t="inlineStr"/>
      <c r="M116" s="2" t="inlineStr"/>
    </row>
    <row r="117">
      <c r="A117" s="2" t="inlineStr">
        <is>
          <t>Page3.TextField1</t>
        </is>
      </c>
      <c r="B117" s="2" t="inlineStr">
        <is>
          <t>Page3</t>
        </is>
      </c>
      <c r="C117" s="2" t="inlineStr">
        <is>
          <t>textEdit</t>
        </is>
      </c>
      <c r="D117" s="2" t="inlineStr"/>
      <c r="E117" s="2" t="inlineStr"/>
      <c r="F117" s="2" t="inlineStr"/>
      <c r="G117" s="2" t="inlineStr"/>
      <c r="H117" s="2" t="inlineStr"/>
      <c r="I117" s="2" t="inlineStr">
        <is>
          <t>Editable</t>
        </is>
      </c>
      <c r="J117" s="2" t="inlineStr"/>
      <c r="K117" s="2" t="inlineStr"/>
      <c r="L117" s="2" t="inlineStr"/>
      <c r="M117" s="2" t="inlineStr"/>
    </row>
    <row r="118">
      <c r="A118" s="2" t="inlineStr">
        <is>
          <t>Page3.NumericField7</t>
        </is>
      </c>
      <c r="B118" s="2" t="inlineStr">
        <is>
          <t>Page3</t>
        </is>
      </c>
      <c r="C118" s="2" t="inlineStr">
        <is>
          <t>numericEdit</t>
        </is>
      </c>
      <c r="D118" s="2" t="inlineStr"/>
      <c r="E118" s="2" t="inlineStr"/>
      <c r="F118" s="2" t="inlineStr"/>
      <c r="G118" s="2" t="inlineStr"/>
      <c r="H118" s="2" t="inlineStr">
        <is>
          <t>num{zzzzzzzzzzzz9'%'}</t>
        </is>
      </c>
      <c r="I118" s="2" t="inlineStr">
        <is>
          <t>Editable</t>
        </is>
      </c>
      <c r="J118" s="2" t="inlineStr"/>
      <c r="K118" s="2" t="inlineStr"/>
      <c r="L118" s="2" t="inlineStr"/>
      <c r="M118" s="2" t="inlineStr"/>
    </row>
    <row r="119">
      <c r="A119" s="2" t="inlineStr">
        <is>
          <t>Page3.TextField1</t>
        </is>
      </c>
      <c r="B119" s="2" t="inlineStr">
        <is>
          <t>Page3</t>
        </is>
      </c>
      <c r="C119" s="2" t="inlineStr">
        <is>
          <t>textEdit</t>
        </is>
      </c>
      <c r="D119" s="2" t="inlineStr"/>
      <c r="E119" s="2" t="inlineStr"/>
      <c r="F119" s="2" t="inlineStr"/>
      <c r="G119" s="2" t="inlineStr"/>
      <c r="H119" s="2" t="inlineStr"/>
      <c r="I119" s="2" t="inlineStr">
        <is>
          <t>Editable</t>
        </is>
      </c>
      <c r="J119" s="2" t="inlineStr"/>
      <c r="K119" s="2" t="inlineStr"/>
      <c r="L119" s="2" t="inlineStr"/>
      <c r="M119" s="2" t="inlineStr"/>
    </row>
    <row r="120">
      <c r="A120" s="2" t="inlineStr">
        <is>
          <t>Page3.TextField1</t>
        </is>
      </c>
      <c r="B120" s="2" t="inlineStr">
        <is>
          <t>Page3</t>
        </is>
      </c>
      <c r="C120" s="2" t="inlineStr">
        <is>
          <t>textEdit</t>
        </is>
      </c>
      <c r="D120" s="2" t="inlineStr"/>
      <c r="E120" s="2" t="inlineStr"/>
      <c r="F120" s="2" t="inlineStr"/>
      <c r="G120" s="2" t="inlineStr"/>
      <c r="H120" s="2" t="inlineStr"/>
      <c r="I120" s="2" t="inlineStr">
        <is>
          <t>Editable</t>
        </is>
      </c>
      <c r="J120" s="2" t="inlineStr"/>
      <c r="K120" s="2" t="inlineStr"/>
      <c r="L120" s="2" t="inlineStr"/>
      <c r="M120" s="2" t="inlineStr"/>
    </row>
    <row r="121">
      <c r="A121" s="2" t="inlineStr">
        <is>
          <t>Page3.NumericField1</t>
        </is>
      </c>
      <c r="B121" s="2" t="inlineStr">
        <is>
          <t>Page3</t>
        </is>
      </c>
      <c r="C121" s="2" t="inlineStr">
        <is>
          <t>numericEdit</t>
        </is>
      </c>
      <c r="D121" s="2" t="inlineStr"/>
      <c r="E121" s="2" t="inlineStr"/>
      <c r="F121" s="2" t="inlineStr"/>
      <c r="G121" s="2" t="inlineStr"/>
      <c r="H121" s="2" t="inlineStr"/>
      <c r="I121" s="2" t="inlineStr">
        <is>
          <t>Editable</t>
        </is>
      </c>
      <c r="J121" s="2" t="inlineStr"/>
      <c r="K121" s="2" t="inlineStr"/>
      <c r="L121" s="2" t="inlineStr"/>
      <c r="M121" s="2" t="inlineStr"/>
    </row>
    <row r="122">
      <c r="A122" s="2" t="inlineStr">
        <is>
          <t>Page3.XIIpurpose1</t>
        </is>
      </c>
      <c r="B122" s="2" t="inlineStr">
        <is>
          <t>Page3</t>
        </is>
      </c>
      <c r="C122" s="2" t="inlineStr">
        <is>
          <t>textEdit</t>
        </is>
      </c>
      <c r="D122" s="2" t="inlineStr"/>
      <c r="E122" s="2" t="inlineStr"/>
      <c r="F122" s="2" t="inlineStr"/>
      <c r="G122" s="2" t="inlineStr"/>
      <c r="H122" s="2" t="inlineStr"/>
      <c r="I122" s="2" t="inlineStr">
        <is>
          <t>Editable</t>
        </is>
      </c>
      <c r="J122" s="2" t="inlineStr"/>
      <c r="K122" s="2" t="inlineStr"/>
      <c r="L122" s="2" t="inlineStr"/>
      <c r="M122" s="2" t="inlineStr"/>
    </row>
    <row r="123">
      <c r="A123" s="2" t="inlineStr">
        <is>
          <t>Page3.TextField1</t>
        </is>
      </c>
      <c r="B123" s="2" t="inlineStr">
        <is>
          <t>Page3</t>
        </is>
      </c>
      <c r="C123" s="2" t="inlineStr">
        <is>
          <t>textEdit</t>
        </is>
      </c>
      <c r="D123" s="2" t="inlineStr"/>
      <c r="E123" s="2" t="inlineStr"/>
      <c r="F123" s="2" t="inlineStr"/>
      <c r="G123" s="2" t="inlineStr"/>
      <c r="H123" s="2" t="inlineStr"/>
      <c r="I123" s="2" t="inlineStr">
        <is>
          <t>Editable</t>
        </is>
      </c>
      <c r="J123" s="2" t="inlineStr"/>
      <c r="K123" s="2" t="inlineStr"/>
      <c r="L123" s="2" t="inlineStr"/>
      <c r="M123" s="2" t="inlineStr"/>
    </row>
    <row r="124">
      <c r="A124" s="2" t="inlineStr">
        <is>
          <t>Page3.TextField1</t>
        </is>
      </c>
      <c r="B124" s="2" t="inlineStr">
        <is>
          <t>Page3</t>
        </is>
      </c>
      <c r="C124" s="2" t="inlineStr">
        <is>
          <t>textEdit</t>
        </is>
      </c>
      <c r="D124" s="2" t="inlineStr"/>
      <c r="E124" s="2" t="inlineStr"/>
      <c r="F124" s="2" t="inlineStr"/>
      <c r="G124" s="2" t="inlineStr"/>
      <c r="H124" s="2" t="inlineStr"/>
      <c r="I124" s="2" t="inlineStr">
        <is>
          <t>Editable</t>
        </is>
      </c>
      <c r="J124" s="2" t="inlineStr"/>
      <c r="K124" s="2" t="inlineStr"/>
      <c r="L124" s="2" t="inlineStr"/>
      <c r="M124" s="2" t="inlineStr"/>
    </row>
    <row r="125">
      <c r="A125" s="2" t="inlineStr">
        <is>
          <t>Page3.TextField1</t>
        </is>
      </c>
      <c r="B125" s="2" t="inlineStr">
        <is>
          <t>Page3</t>
        </is>
      </c>
      <c r="C125" s="2" t="inlineStr">
        <is>
          <t>textEdit</t>
        </is>
      </c>
      <c r="D125" s="2" t="inlineStr"/>
      <c r="E125" s="2" t="inlineStr"/>
      <c r="F125" s="2" t="inlineStr"/>
      <c r="G125" s="2" t="inlineStr"/>
      <c r="H125" s="2" t="inlineStr"/>
      <c r="I125" s="2" t="inlineStr">
        <is>
          <t>Editable</t>
        </is>
      </c>
      <c r="J125" s="2" t="inlineStr"/>
      <c r="K125" s="2" t="inlineStr"/>
      <c r="L125" s="2" t="inlineStr"/>
      <c r="M125" s="2" t="inlineStr"/>
    </row>
    <row r="126">
      <c r="A126" s="2" t="inlineStr">
        <is>
          <t>Page3.TextField1</t>
        </is>
      </c>
      <c r="B126" s="2" t="inlineStr">
        <is>
          <t>Page3</t>
        </is>
      </c>
      <c r="C126" s="2" t="inlineStr">
        <is>
          <t>textEdit</t>
        </is>
      </c>
      <c r="D126" s="2" t="inlineStr"/>
      <c r="E126" s="2" t="inlineStr"/>
      <c r="F126" s="2" t="inlineStr"/>
      <c r="G126" s="2" t="inlineStr"/>
      <c r="H126" s="2" t="inlineStr"/>
      <c r="I126" s="2" t="inlineStr">
        <is>
          <t>Editable</t>
        </is>
      </c>
      <c r="J126" s="2" t="inlineStr"/>
      <c r="K126" s="2" t="inlineStr"/>
      <c r="L126" s="2" t="inlineStr"/>
      <c r="M126" s="2" t="inlineStr"/>
    </row>
    <row r="127">
      <c r="A127" s="2" t="inlineStr">
        <is>
          <t>Page3.XIVname1</t>
        </is>
      </c>
      <c r="B127" s="2" t="inlineStr">
        <is>
          <t>Page3</t>
        </is>
      </c>
      <c r="C127" s="2" t="inlineStr">
        <is>
          <t>textEdit</t>
        </is>
      </c>
      <c r="D127" s="2" t="inlineStr"/>
      <c r="E127" s="2" t="inlineStr"/>
      <c r="F127" s="2" t="inlineStr"/>
      <c r="G127" s="2" t="inlineStr"/>
      <c r="H127" s="2" t="inlineStr"/>
      <c r="I127" s="2" t="inlineStr">
        <is>
          <t>Editable</t>
        </is>
      </c>
      <c r="J127" s="2" t="inlineStr"/>
      <c r="K127" s="2" t="inlineStr"/>
      <c r="L127" s="2" t="inlineStr"/>
      <c r="M127" s="2" t="inlineStr"/>
    </row>
    <row r="128">
      <c r="A128" s="2" t="inlineStr">
        <is>
          <t>Page3.XIVdate1</t>
        </is>
      </c>
      <c r="B128" s="2" t="inlineStr">
        <is>
          <t>Page3</t>
        </is>
      </c>
      <c r="C128" s="2" t="inlineStr">
        <is>
          <t>dateTimeEdit</t>
        </is>
      </c>
      <c r="D128" s="2" t="inlineStr">
        <is>
          <t>date</t>
        </is>
      </c>
      <c r="E128" s="2" t="inlineStr">
        <is>
          <t>8</t>
        </is>
      </c>
      <c r="F128" s="2" t="inlineStr"/>
      <c r="G128" s="2" t="inlineStr"/>
      <c r="H128" s="2" t="inlineStr">
        <is>
          <t>date{DDMMYYYY}</t>
        </is>
      </c>
      <c r="I128" s="2" t="inlineStr">
        <is>
          <t>Editable</t>
        </is>
      </c>
      <c r="J128" s="2" t="inlineStr"/>
      <c r="K128" s="2" t="inlineStr"/>
      <c r="L128" s="2" t="inlineStr"/>
      <c r="M128" s="2" t="inlineStr"/>
    </row>
    <row r="129">
      <c r="A129" s="2" t="inlineStr">
        <is>
          <t>Page3.XIVnationality1</t>
        </is>
      </c>
      <c r="B129" s="2" t="inlineStr">
        <is>
          <t>Page3</t>
        </is>
      </c>
      <c r="C129" s="2" t="inlineStr">
        <is>
          <t>textEdit</t>
        </is>
      </c>
      <c r="D129" s="2" t="inlineStr"/>
      <c r="E129" s="2" t="inlineStr"/>
      <c r="F129" s="2" t="inlineStr"/>
      <c r="G129" s="2" t="inlineStr"/>
      <c r="H129" s="2" t="inlineStr"/>
      <c r="I129" s="2" t="inlineStr">
        <is>
          <t>Editable</t>
        </is>
      </c>
      <c r="J129" s="2" t="inlineStr"/>
      <c r="K129" s="2" t="inlineStr"/>
      <c r="L129" s="2" t="inlineStr"/>
      <c r="M129" s="2" t="inlineStr"/>
    </row>
    <row r="130">
      <c r="A130" s="2" t="inlineStr">
        <is>
          <t>Page3.XIVid1</t>
        </is>
      </c>
      <c r="B130" s="2" t="inlineStr">
        <is>
          <t>Page3</t>
        </is>
      </c>
      <c r="C130" s="2" t="inlineStr">
        <is>
          <t>textEdit</t>
        </is>
      </c>
      <c r="D130" s="2" t="inlineStr"/>
      <c r="E130" s="2" t="inlineStr"/>
      <c r="F130" s="2" t="inlineStr"/>
      <c r="G130" s="2" t="inlineStr"/>
      <c r="H130" s="2" t="inlineStr"/>
      <c r="I130" s="2" t="inlineStr">
        <is>
          <t>Editable</t>
        </is>
      </c>
      <c r="J130" s="2" t="inlineStr"/>
      <c r="K130" s="2" t="inlineStr"/>
      <c r="L130" s="2" t="inlineStr"/>
      <c r="M130" s="2" t="inlineStr"/>
    </row>
    <row r="131">
      <c r="A131" s="2" t="inlineStr">
        <is>
          <t>Page3.XIVOwnInt1</t>
        </is>
      </c>
      <c r="B131" s="2" t="inlineStr">
        <is>
          <t>Page3</t>
        </is>
      </c>
      <c r="C131" s="2" t="inlineStr">
        <is>
          <t>choiceList</t>
        </is>
      </c>
      <c r="D131" s="2" t="inlineStr"/>
      <c r="E131" s="2" t="inlineStr"/>
      <c r="F131" s="2" t="inlineStr"/>
      <c r="G131" s="2" t="inlineStr"/>
      <c r="H131" s="2" t="inlineStr"/>
      <c r="I131" s="2" t="inlineStr">
        <is>
          <t>Editable</t>
        </is>
      </c>
      <c r="J131" s="2" t="inlineStr"/>
      <c r="K131" s="2" t="inlineStr"/>
      <c r="L131" s="2" t="inlineStr"/>
      <c r="M131" s="2" t="inlineStr">
        <is>
          <t>Direct/Indirect</t>
        </is>
      </c>
    </row>
    <row r="132">
      <c r="A132" s="2" t="inlineStr">
        <is>
          <t>Page3.XIVContInt1</t>
        </is>
      </c>
      <c r="B132" s="2" t="inlineStr">
        <is>
          <t>Page3</t>
        </is>
      </c>
      <c r="C132" s="2" t="inlineStr">
        <is>
          <t>textEdit</t>
        </is>
      </c>
      <c r="D132" s="2" t="inlineStr"/>
      <c r="E132" s="2" t="inlineStr"/>
      <c r="F132" s="2" t="inlineStr"/>
      <c r="G132" s="2" t="inlineStr"/>
      <c r="H132" s="2" t="inlineStr"/>
      <c r="I132" s="2" t="inlineStr">
        <is>
          <t>Editable</t>
        </is>
      </c>
      <c r="J132" s="2" t="inlineStr"/>
      <c r="K132" s="2" t="inlineStr"/>
      <c r="L132" s="2" t="inlineStr"/>
      <c r="M132" s="2" t="inlineStr"/>
    </row>
    <row r="133">
      <c r="A133" s="2" t="inlineStr">
        <is>
          <t>Page4.A1</t>
        </is>
      </c>
      <c r="B133" s="2" t="inlineStr">
        <is>
          <t>Page4</t>
        </is>
      </c>
      <c r="C133" s="2" t="inlineStr">
        <is>
          <t>numericEdit</t>
        </is>
      </c>
      <c r="D133" s="2" t="inlineStr">
        <is>
          <t>decimal</t>
        </is>
      </c>
      <c r="E133" s="2" t="inlineStr">
        <is>
          <t>14</t>
        </is>
      </c>
      <c r="F133" s="2" t="inlineStr"/>
      <c r="G133" s="2" t="inlineStr">
        <is>
          <t>num{zzzzzzzzzzzzzz9.99}</t>
        </is>
      </c>
      <c r="H133" s="2" t="inlineStr">
        <is>
          <t>num{zzzzzzzzzzzzzz9.99}</t>
        </is>
      </c>
      <c r="I133" s="2" t="inlineStr">
        <is>
          <t>Editable</t>
        </is>
      </c>
      <c r="J133" s="2" t="inlineStr"/>
      <c r="K133" s="2" t="inlineStr"/>
      <c r="L133" s="2" t="inlineStr"/>
      <c r="M133" s="2" t="inlineStr"/>
    </row>
    <row r="134">
      <c r="A134" s="2" t="inlineStr">
        <is>
          <t>Page4.A2</t>
        </is>
      </c>
      <c r="B134" s="2" t="inlineStr">
        <is>
          <t>Page4</t>
        </is>
      </c>
      <c r="C134" s="2" t="inlineStr">
        <is>
          <t>numericEdit</t>
        </is>
      </c>
      <c r="D134" s="2" t="inlineStr">
        <is>
          <t>decimal</t>
        </is>
      </c>
      <c r="E134" s="2" t="inlineStr">
        <is>
          <t>14</t>
        </is>
      </c>
      <c r="F134" s="2" t="inlineStr"/>
      <c r="G134" s="2" t="inlineStr">
        <is>
          <t>num{zzzzzzzzzzzzzz9.99}</t>
        </is>
      </c>
      <c r="H134" s="2" t="inlineStr">
        <is>
          <t>num{zzzzzzzzzzzzzz9.99}</t>
        </is>
      </c>
      <c r="I134" s="2" t="inlineStr">
        <is>
          <t>Editable</t>
        </is>
      </c>
      <c r="J134" s="2" t="inlineStr"/>
      <c r="K134" s="2" t="inlineStr"/>
      <c r="L134" s="2" t="inlineStr"/>
      <c r="M134" s="2" t="inlineStr"/>
    </row>
    <row r="135">
      <c r="A135" s="2" t="inlineStr">
        <is>
          <t>Page4.A3</t>
        </is>
      </c>
      <c r="B135" s="2" t="inlineStr">
        <is>
          <t>Page4</t>
        </is>
      </c>
      <c r="C135" s="2" t="inlineStr">
        <is>
          <t>numericEdit</t>
        </is>
      </c>
      <c r="D135" s="2" t="inlineStr">
        <is>
          <t>decimal</t>
        </is>
      </c>
      <c r="E135" s="2" t="inlineStr">
        <is>
          <t>14</t>
        </is>
      </c>
      <c r="F135" s="2" t="inlineStr"/>
      <c r="G135" s="2" t="inlineStr">
        <is>
          <t>num{zzzzzzzzzzzzzz9.99}</t>
        </is>
      </c>
      <c r="H135" s="2" t="inlineStr">
        <is>
          <t>num{zzzzzzzzzzzzzz9.99}</t>
        </is>
      </c>
      <c r="I135" s="2" t="inlineStr">
        <is>
          <t>Editable</t>
        </is>
      </c>
      <c r="J135" s="2" t="inlineStr"/>
      <c r="K135" s="2" t="inlineStr"/>
      <c r="L135" s="2" t="inlineStr"/>
      <c r="M135" s="2" t="inlineStr"/>
    </row>
    <row r="136">
      <c r="A136" s="2" t="inlineStr">
        <is>
          <t>Page4.A4</t>
        </is>
      </c>
      <c r="B136" s="2" t="inlineStr">
        <is>
          <t>Page4</t>
        </is>
      </c>
      <c r="C136" s="2" t="inlineStr">
        <is>
          <t>numericEdit</t>
        </is>
      </c>
      <c r="D136" s="2" t="inlineStr">
        <is>
          <t>decimal</t>
        </is>
      </c>
      <c r="E136" s="2" t="inlineStr">
        <is>
          <t>14</t>
        </is>
      </c>
      <c r="F136" s="2" t="inlineStr"/>
      <c r="G136" s="2" t="inlineStr">
        <is>
          <t>num{zzzzzzzzzzzzzz9.99}</t>
        </is>
      </c>
      <c r="H136" s="2" t="inlineStr">
        <is>
          <t>num{zzzzzzzzzzzzzz9.99}</t>
        </is>
      </c>
      <c r="I136" s="2" t="inlineStr">
        <is>
          <t>Editable</t>
        </is>
      </c>
      <c r="J136" s="2" t="inlineStr"/>
      <c r="K136" s="2" t="inlineStr"/>
      <c r="L136" s="2" t="inlineStr"/>
      <c r="M136" s="2" t="inlineStr"/>
    </row>
    <row r="137">
      <c r="A137" s="2" t="inlineStr">
        <is>
          <t>Page4.A5</t>
        </is>
      </c>
      <c r="B137" s="2" t="inlineStr">
        <is>
          <t>Page4</t>
        </is>
      </c>
      <c r="C137" s="2" t="inlineStr">
        <is>
          <t>numericEdit</t>
        </is>
      </c>
      <c r="D137" s="2" t="inlineStr">
        <is>
          <t>decimal</t>
        </is>
      </c>
      <c r="E137" s="2" t="inlineStr">
        <is>
          <t>14</t>
        </is>
      </c>
      <c r="F137" s="2" t="inlineStr"/>
      <c r="G137" s="2" t="inlineStr">
        <is>
          <t>num{zzzzzzzzzzzzzz9.99}</t>
        </is>
      </c>
      <c r="H137" s="2" t="inlineStr">
        <is>
          <t>num{zzzzzzzzzzzzzz9.99}</t>
        </is>
      </c>
      <c r="I137" s="2" t="inlineStr">
        <is>
          <t>Editable</t>
        </is>
      </c>
      <c r="J137" s="2" t="inlineStr"/>
      <c r="K137" s="2" t="inlineStr"/>
      <c r="L137" s="2" t="inlineStr"/>
      <c r="M137" s="2" t="inlineStr"/>
    </row>
    <row r="138">
      <c r="A138" s="2" t="inlineStr">
        <is>
          <t>Page4.A6</t>
        </is>
      </c>
      <c r="B138" s="2" t="inlineStr">
        <is>
          <t>Page4</t>
        </is>
      </c>
      <c r="C138" s="2" t="inlineStr">
        <is>
          <t>numericEdit</t>
        </is>
      </c>
      <c r="D138" s="2" t="inlineStr">
        <is>
          <t>decimal</t>
        </is>
      </c>
      <c r="E138" s="2" t="inlineStr">
        <is>
          <t>14</t>
        </is>
      </c>
      <c r="F138" s="2" t="inlineStr"/>
      <c r="G138" s="2" t="inlineStr">
        <is>
          <t>num{zzzzzzzzzzzzzz9.99}</t>
        </is>
      </c>
      <c r="H138" s="2" t="inlineStr">
        <is>
          <t>num{zzzzzzzzzzzzzz9.99}</t>
        </is>
      </c>
      <c r="I138" s="2" t="inlineStr">
        <is>
          <t>Read-only</t>
        </is>
      </c>
      <c r="J138" s="2" t="inlineStr">
        <is>
          <t>Yes</t>
        </is>
      </c>
      <c r="K138" s="2" t="inlineStr"/>
      <c r="L138" s="2" t="inlineStr"/>
      <c r="M138" s="2" t="inlineStr"/>
    </row>
    <row r="139">
      <c r="A139" s="2" t="inlineStr">
        <is>
          <t>Page4.A7</t>
        </is>
      </c>
      <c r="B139" s="2" t="inlineStr">
        <is>
          <t>Page4</t>
        </is>
      </c>
      <c r="C139" s="2" t="inlineStr">
        <is>
          <t>numericEdit</t>
        </is>
      </c>
      <c r="D139" s="2" t="inlineStr">
        <is>
          <t>decimal</t>
        </is>
      </c>
      <c r="E139" s="2" t="inlineStr">
        <is>
          <t>14</t>
        </is>
      </c>
      <c r="F139" s="2" t="inlineStr"/>
      <c r="G139" s="2" t="inlineStr">
        <is>
          <t>num{zzzzzzzzzzzzzz9.99}</t>
        </is>
      </c>
      <c r="H139" s="2" t="inlineStr">
        <is>
          <t>num{zzzzzzzzzzzzzz9.99}</t>
        </is>
      </c>
      <c r="I139" s="2" t="inlineStr">
        <is>
          <t>Read-only</t>
        </is>
      </c>
      <c r="J139" s="2" t="inlineStr">
        <is>
          <t>Yes</t>
        </is>
      </c>
      <c r="K139" s="2" t="inlineStr"/>
      <c r="L139" s="2" t="inlineStr"/>
      <c r="M139" s="2" t="inlineStr"/>
    </row>
    <row r="140">
      <c r="A140" s="2" t="inlineStr">
        <is>
          <t>Page4.A8</t>
        </is>
      </c>
      <c r="B140" s="2" t="inlineStr">
        <is>
          <t>Page4</t>
        </is>
      </c>
      <c r="C140" s="2" t="inlineStr">
        <is>
          <t>numericEdit</t>
        </is>
      </c>
      <c r="D140" s="2" t="inlineStr">
        <is>
          <t>decimal</t>
        </is>
      </c>
      <c r="E140" s="2" t="inlineStr">
        <is>
          <t>14</t>
        </is>
      </c>
      <c r="F140" s="2" t="inlineStr"/>
      <c r="G140" s="2" t="inlineStr">
        <is>
          <t>num{zzzzzzzzzzzzzz9.99}</t>
        </is>
      </c>
      <c r="H140" s="2" t="inlineStr">
        <is>
          <t>num{zzzzzzzzzzzzzz9.99}</t>
        </is>
      </c>
      <c r="I140" s="2" t="inlineStr">
        <is>
          <t>Read-only</t>
        </is>
      </c>
      <c r="J140" s="2" t="inlineStr">
        <is>
          <t>Yes</t>
        </is>
      </c>
      <c r="K140" s="2" t="inlineStr"/>
      <c r="L140" s="2" t="inlineStr"/>
      <c r="M140" s="2" t="inlineStr"/>
    </row>
    <row r="141">
      <c r="A141" s="2" t="inlineStr">
        <is>
          <t>Page4.A11</t>
        </is>
      </c>
      <c r="B141" s="2" t="inlineStr">
        <is>
          <t>Page4</t>
        </is>
      </c>
      <c r="C141" s="2" t="inlineStr">
        <is>
          <t>numericEdit</t>
        </is>
      </c>
      <c r="D141" s="2" t="inlineStr">
        <is>
          <t>decimal</t>
        </is>
      </c>
      <c r="E141" s="2" t="inlineStr">
        <is>
          <t>14</t>
        </is>
      </c>
      <c r="F141" s="2" t="inlineStr"/>
      <c r="G141" s="2" t="inlineStr">
        <is>
          <t>num{zzzzzzzzzzzzzz9.99}</t>
        </is>
      </c>
      <c r="H141" s="2" t="inlineStr">
        <is>
          <t>num{zzzzzzzzzzzzzz9.99}</t>
        </is>
      </c>
      <c r="I141" s="2" t="inlineStr">
        <is>
          <t>Editable</t>
        </is>
      </c>
      <c r="J141" s="2" t="inlineStr"/>
      <c r="K141" s="2" t="inlineStr"/>
      <c r="L141" s="2" t="inlineStr"/>
      <c r="M141" s="2" t="inlineStr"/>
    </row>
    <row r="142">
      <c r="A142" s="2" t="inlineStr">
        <is>
          <t>Page4.A14</t>
        </is>
      </c>
      <c r="B142" s="2" t="inlineStr">
        <is>
          <t>Page4</t>
        </is>
      </c>
      <c r="C142" s="2" t="inlineStr">
        <is>
          <t>numericEdit</t>
        </is>
      </c>
      <c r="D142" s="2" t="inlineStr">
        <is>
          <t>decimal</t>
        </is>
      </c>
      <c r="E142" s="2" t="inlineStr">
        <is>
          <t>14</t>
        </is>
      </c>
      <c r="F142" s="2" t="inlineStr"/>
      <c r="G142" s="2" t="inlineStr"/>
      <c r="H142" s="2" t="inlineStr">
        <is>
          <t>num{zzzzzzzzzzzzzz9.99}</t>
        </is>
      </c>
      <c r="I142" s="2" t="inlineStr">
        <is>
          <t>Editable</t>
        </is>
      </c>
      <c r="J142" s="2" t="inlineStr"/>
      <c r="K142" s="2" t="inlineStr"/>
      <c r="L142" s="2" t="inlineStr"/>
      <c r="M142" s="2" t="inlineStr"/>
    </row>
    <row r="143">
      <c r="A143" s="2" t="inlineStr">
        <is>
          <t>Page4.A15</t>
        </is>
      </c>
      <c r="B143" s="2" t="inlineStr">
        <is>
          <t>Page4</t>
        </is>
      </c>
      <c r="C143" s="2" t="inlineStr">
        <is>
          <t>numericEdit</t>
        </is>
      </c>
      <c r="D143" s="2" t="inlineStr">
        <is>
          <t>decimal</t>
        </is>
      </c>
      <c r="E143" s="2" t="inlineStr">
        <is>
          <t>14</t>
        </is>
      </c>
      <c r="F143" s="2" t="inlineStr"/>
      <c r="G143" s="2" t="inlineStr">
        <is>
          <t>num{zzzzzzzzzzzzzz9.99}</t>
        </is>
      </c>
      <c r="H143" s="2" t="inlineStr">
        <is>
          <t>num{zzzzzzzzzzzzzz9.99}</t>
        </is>
      </c>
      <c r="I143" s="2" t="inlineStr">
        <is>
          <t>Read-only</t>
        </is>
      </c>
      <c r="J143" s="2" t="inlineStr">
        <is>
          <t>Yes</t>
        </is>
      </c>
      <c r="K143" s="2" t="inlineStr"/>
      <c r="L143" s="2" t="inlineStr"/>
      <c r="M143" s="2" t="inlineStr"/>
    </row>
    <row r="144">
      <c r="A144" s="2" t="inlineStr">
        <is>
          <t>Page4.A16</t>
        </is>
      </c>
      <c r="B144" s="2" t="inlineStr">
        <is>
          <t>Page4</t>
        </is>
      </c>
      <c r="C144" s="2" t="inlineStr">
        <is>
          <t>numericEdit</t>
        </is>
      </c>
      <c r="D144" s="2" t="inlineStr">
        <is>
          <t>decimal</t>
        </is>
      </c>
      <c r="E144" s="2" t="inlineStr">
        <is>
          <t>14</t>
        </is>
      </c>
      <c r="F144" s="2" t="inlineStr"/>
      <c r="G144" s="2" t="inlineStr">
        <is>
          <t>num{zzzzzzzzzzzzzz9.99}</t>
        </is>
      </c>
      <c r="H144" s="2" t="inlineStr">
        <is>
          <t>num{zzzzzzzzzzzzzz9.99}</t>
        </is>
      </c>
      <c r="I144" s="2" t="inlineStr">
        <is>
          <t>Read-only</t>
        </is>
      </c>
      <c r="J144" s="2" t="inlineStr">
        <is>
          <t>Yes</t>
        </is>
      </c>
      <c r="K144" s="2" t="inlineStr"/>
      <c r="L144" s="2" t="inlineStr"/>
      <c r="M144" s="2" t="inlineStr"/>
    </row>
    <row r="145">
      <c r="A145" s="2" t="inlineStr">
        <is>
          <t>Page4.A17</t>
        </is>
      </c>
      <c r="B145" s="2" t="inlineStr">
        <is>
          <t>Page4</t>
        </is>
      </c>
      <c r="C145" s="2" t="inlineStr">
        <is>
          <t>numericEdit</t>
        </is>
      </c>
      <c r="D145" s="2" t="inlineStr">
        <is>
          <t>decimal</t>
        </is>
      </c>
      <c r="E145" s="2" t="inlineStr">
        <is>
          <t>14</t>
        </is>
      </c>
      <c r="F145" s="2" t="inlineStr"/>
      <c r="G145" s="2" t="inlineStr">
        <is>
          <t>num{zzzzzzzzzzzzzz9.99}</t>
        </is>
      </c>
      <c r="H145" s="2" t="inlineStr">
        <is>
          <t>num{zzzzzzzzzzzzzz9.99}</t>
        </is>
      </c>
      <c r="I145" s="2" t="inlineStr">
        <is>
          <t>Editable</t>
        </is>
      </c>
      <c r="J145" s="2" t="inlineStr"/>
      <c r="K145" s="2" t="inlineStr"/>
      <c r="L145" s="2" t="inlineStr"/>
      <c r="M145" s="2" t="inlineStr"/>
    </row>
    <row r="146">
      <c r="A146" s="2" t="inlineStr">
        <is>
          <t>Page4.A18</t>
        </is>
      </c>
      <c r="B146" s="2" t="inlineStr">
        <is>
          <t>Page4</t>
        </is>
      </c>
      <c r="C146" s="2" t="inlineStr">
        <is>
          <t>numericEdit</t>
        </is>
      </c>
      <c r="D146" s="2" t="inlineStr">
        <is>
          <t>decimal</t>
        </is>
      </c>
      <c r="E146" s="2" t="inlineStr">
        <is>
          <t>14</t>
        </is>
      </c>
      <c r="F146" s="2" t="inlineStr"/>
      <c r="G146" s="2" t="inlineStr">
        <is>
          <t>num{zzzzzzzzzzzzzz9.99}</t>
        </is>
      </c>
      <c r="H146" s="2" t="inlineStr">
        <is>
          <t>num{zzzzzzzzzzzzzz9.99}</t>
        </is>
      </c>
      <c r="I146" s="2" t="inlineStr">
        <is>
          <t>Editable</t>
        </is>
      </c>
      <c r="J146" s="2" t="inlineStr"/>
      <c r="K146" s="2" t="inlineStr"/>
      <c r="L146" s="2" t="inlineStr"/>
      <c r="M146" s="2" t="inlineStr"/>
    </row>
    <row r="147">
      <c r="A147" s="2" t="inlineStr">
        <is>
          <t>Page4.A19</t>
        </is>
      </c>
      <c r="B147" s="2" t="inlineStr">
        <is>
          <t>Page4</t>
        </is>
      </c>
      <c r="C147" s="2" t="inlineStr">
        <is>
          <t>numericEdit</t>
        </is>
      </c>
      <c r="D147" s="2" t="inlineStr">
        <is>
          <t>decimal</t>
        </is>
      </c>
      <c r="E147" s="2" t="inlineStr">
        <is>
          <t>14</t>
        </is>
      </c>
      <c r="F147" s="2" t="inlineStr"/>
      <c r="G147" s="2" t="inlineStr">
        <is>
          <t>num{zzzzzzzzzzzzzz9.99}</t>
        </is>
      </c>
      <c r="H147" s="2" t="inlineStr">
        <is>
          <t>num{zzzzzzzzzzzzzz9.99}</t>
        </is>
      </c>
      <c r="I147" s="2" t="inlineStr">
        <is>
          <t>Read-only</t>
        </is>
      </c>
      <c r="J147" s="2" t="inlineStr">
        <is>
          <t>Yes</t>
        </is>
      </c>
      <c r="K147" s="2" t="inlineStr"/>
      <c r="L147" s="2" t="inlineStr"/>
      <c r="M147" s="2" t="inlineStr"/>
    </row>
    <row r="148">
      <c r="A148" s="2" t="inlineStr">
        <is>
          <t>Page4.A20</t>
        </is>
      </c>
      <c r="B148" s="2" t="inlineStr">
        <is>
          <t>Page4</t>
        </is>
      </c>
      <c r="C148" s="2" t="inlineStr">
        <is>
          <t>numericEdit</t>
        </is>
      </c>
      <c r="D148" s="2" t="inlineStr">
        <is>
          <t>decimal</t>
        </is>
      </c>
      <c r="E148" s="2" t="inlineStr">
        <is>
          <t>14</t>
        </is>
      </c>
      <c r="F148" s="2" t="inlineStr"/>
      <c r="G148" s="2" t="inlineStr">
        <is>
          <t>num{zzzzzzzzzzzzzz9.99}</t>
        </is>
      </c>
      <c r="H148" s="2" t="inlineStr">
        <is>
          <t>num{zzzzzzzzzzzzzz9.99}</t>
        </is>
      </c>
      <c r="I148" s="2" t="inlineStr">
        <is>
          <t>Read-only</t>
        </is>
      </c>
      <c r="J148" s="2" t="inlineStr">
        <is>
          <t>Yes</t>
        </is>
      </c>
      <c r="K148" s="2" t="inlineStr"/>
      <c r="L148" s="2" t="inlineStr"/>
      <c r="M148" s="2" t="inlineStr"/>
    </row>
    <row r="149">
      <c r="A149" s="2" t="inlineStr">
        <is>
          <t>Page4.A24</t>
        </is>
      </c>
      <c r="B149" s="2" t="inlineStr">
        <is>
          <t>Page4</t>
        </is>
      </c>
      <c r="C149" s="2" t="inlineStr">
        <is>
          <t>numericEdit</t>
        </is>
      </c>
      <c r="D149" s="2" t="inlineStr">
        <is>
          <t>decimal</t>
        </is>
      </c>
      <c r="E149" s="2" t="inlineStr">
        <is>
          <t>14</t>
        </is>
      </c>
      <c r="F149" s="2" t="inlineStr"/>
      <c r="G149" s="2" t="inlineStr">
        <is>
          <t>num{zzzzzzzzzzzzzz9.99}</t>
        </is>
      </c>
      <c r="H149" s="2" t="inlineStr">
        <is>
          <t>num{zzzzzzzzzzzzzz9.99}</t>
        </is>
      </c>
      <c r="I149" s="2" t="inlineStr">
        <is>
          <t>Read-only</t>
        </is>
      </c>
      <c r="J149" s="2" t="inlineStr">
        <is>
          <t>Yes</t>
        </is>
      </c>
      <c r="K149" s="2" t="inlineStr"/>
      <c r="L149" s="2" t="inlineStr"/>
      <c r="M149" s="2" t="inlineStr"/>
    </row>
    <row r="150">
      <c r="A150" s="2" t="inlineStr">
        <is>
          <t>Page4.A25</t>
        </is>
      </c>
      <c r="B150" s="2" t="inlineStr">
        <is>
          <t>Page4</t>
        </is>
      </c>
      <c r="C150" s="2" t="inlineStr">
        <is>
          <t>numericEdit</t>
        </is>
      </c>
      <c r="D150" s="2" t="inlineStr">
        <is>
          <t>decimal</t>
        </is>
      </c>
      <c r="E150" s="2" t="inlineStr">
        <is>
          <t>14</t>
        </is>
      </c>
      <c r="F150" s="2" t="inlineStr"/>
      <c r="G150" s="2" t="inlineStr">
        <is>
          <t>num{zzzzzzzzzzzzzz9.99}</t>
        </is>
      </c>
      <c r="H150" s="2" t="inlineStr">
        <is>
          <t>num{zzzzzzzzzzzzzz9.99}</t>
        </is>
      </c>
      <c r="I150" s="2" t="inlineStr">
        <is>
          <t>Read-only</t>
        </is>
      </c>
      <c r="J150" s="2" t="inlineStr">
        <is>
          <t>Yes</t>
        </is>
      </c>
      <c r="K150" s="2" t="inlineStr"/>
      <c r="L150" s="2" t="inlineStr"/>
      <c r="M150" s="2" t="inlineStr"/>
    </row>
    <row r="151">
      <c r="A151" s="2" t="inlineStr">
        <is>
          <t>Page4.A21</t>
        </is>
      </c>
      <c r="B151" s="2" t="inlineStr">
        <is>
          <t>Page4</t>
        </is>
      </c>
      <c r="C151" s="2" t="inlineStr">
        <is>
          <t>numericEdit</t>
        </is>
      </c>
      <c r="D151" s="2" t="inlineStr">
        <is>
          <t>decimal</t>
        </is>
      </c>
      <c r="E151" s="2" t="inlineStr">
        <is>
          <t>14</t>
        </is>
      </c>
      <c r="F151" s="2" t="inlineStr"/>
      <c r="G151" s="2" t="inlineStr">
        <is>
          <t>num{zzzzzzzzzzzzzz9.99}</t>
        </is>
      </c>
      <c r="H151" s="2" t="inlineStr">
        <is>
          <t>num{zzzzzzzzzzzzzz9.99}</t>
        </is>
      </c>
      <c r="I151" s="2" t="inlineStr">
        <is>
          <t>Editable</t>
        </is>
      </c>
      <c r="J151" s="2" t="inlineStr"/>
      <c r="K151" s="2" t="inlineStr"/>
      <c r="L151" s="2" t="inlineStr"/>
      <c r="M151" s="2" t="inlineStr"/>
    </row>
    <row r="152">
      <c r="A152" s="2" t="inlineStr">
        <is>
          <t>Page4.A22</t>
        </is>
      </c>
      <c r="B152" s="2" t="inlineStr">
        <is>
          <t>Page4</t>
        </is>
      </c>
      <c r="C152" s="2" t="inlineStr">
        <is>
          <t>numericEdit</t>
        </is>
      </c>
      <c r="D152" s="2" t="inlineStr">
        <is>
          <t>decimal</t>
        </is>
      </c>
      <c r="E152" s="2" t="inlineStr">
        <is>
          <t>14</t>
        </is>
      </c>
      <c r="F152" s="2" t="inlineStr"/>
      <c r="G152" s="2" t="inlineStr">
        <is>
          <t>num{zzzzzzzzzzzzzz9.99}</t>
        </is>
      </c>
      <c r="H152" s="2" t="inlineStr">
        <is>
          <t>num{zzzzzzzzzzzzzz9.99}</t>
        </is>
      </c>
      <c r="I152" s="2" t="inlineStr">
        <is>
          <t>Read-only</t>
        </is>
      </c>
      <c r="J152" s="2" t="inlineStr">
        <is>
          <t>Yes</t>
        </is>
      </c>
      <c r="K152" s="2" t="inlineStr"/>
      <c r="L152" s="2" t="inlineStr"/>
      <c r="M152" s="2" t="inlineStr"/>
    </row>
    <row r="153">
      <c r="A153" s="2" t="inlineStr">
        <is>
          <t>Page4.A23</t>
        </is>
      </c>
      <c r="B153" s="2" t="inlineStr">
        <is>
          <t>Page4</t>
        </is>
      </c>
      <c r="C153" s="2" t="inlineStr">
        <is>
          <t>numericEdit</t>
        </is>
      </c>
      <c r="D153" s="2" t="inlineStr">
        <is>
          <t>decimal</t>
        </is>
      </c>
      <c r="E153" s="2" t="inlineStr">
        <is>
          <t>14</t>
        </is>
      </c>
      <c r="F153" s="2" t="inlineStr"/>
      <c r="G153" s="2" t="inlineStr">
        <is>
          <t>num{zzzzzzzzzzzzzz9.99}</t>
        </is>
      </c>
      <c r="H153" s="2" t="inlineStr">
        <is>
          <t>num{zzzzzzzzzzzzzz9.99}</t>
        </is>
      </c>
      <c r="I153" s="2" t="inlineStr">
        <is>
          <t>Read-only</t>
        </is>
      </c>
      <c r="J153" s="2" t="inlineStr">
        <is>
          <t>Yes</t>
        </is>
      </c>
      <c r="K153" s="2" t="inlineStr"/>
      <c r="L153" s="2" t="inlineStr"/>
      <c r="M153" s="2" t="inlineStr"/>
    </row>
    <row r="154">
      <c r="A154" s="2" t="inlineStr">
        <is>
          <t>Page4.A12</t>
        </is>
      </c>
      <c r="B154" s="2" t="inlineStr">
        <is>
          <t>Page4</t>
        </is>
      </c>
      <c r="C154" s="2" t="inlineStr">
        <is>
          <t>numericEdit</t>
        </is>
      </c>
      <c r="D154" s="2" t="inlineStr">
        <is>
          <t>decimal</t>
        </is>
      </c>
      <c r="E154" s="2" t="inlineStr">
        <is>
          <t>14</t>
        </is>
      </c>
      <c r="F154" s="2" t="inlineStr"/>
      <c r="G154" s="2" t="inlineStr">
        <is>
          <t>num{zzzzzzzzzzzzzz9.99}</t>
        </is>
      </c>
      <c r="H154" s="2" t="inlineStr">
        <is>
          <t>num{zzzzzzzzzzzzzz9.99}</t>
        </is>
      </c>
      <c r="I154" s="2" t="inlineStr">
        <is>
          <t>Editable</t>
        </is>
      </c>
      <c r="J154" s="2" t="inlineStr"/>
      <c r="K154" s="2" t="inlineStr"/>
      <c r="L154" s="2" t="inlineStr"/>
      <c r="M154" s="2" t="inlineStr"/>
    </row>
    <row r="155">
      <c r="A155" s="2" t="inlineStr">
        <is>
          <t>Page4.A13</t>
        </is>
      </c>
      <c r="B155" s="2" t="inlineStr">
        <is>
          <t>Page4</t>
        </is>
      </c>
      <c r="C155" s="2" t="inlineStr">
        <is>
          <t>numericEdit</t>
        </is>
      </c>
      <c r="D155" s="2" t="inlineStr">
        <is>
          <t>decimal</t>
        </is>
      </c>
      <c r="E155" s="2" t="inlineStr">
        <is>
          <t>14</t>
        </is>
      </c>
      <c r="F155" s="2" t="inlineStr"/>
      <c r="G155" s="2" t="inlineStr">
        <is>
          <t>num{zzzzzzzzzzzzzz9.99}</t>
        </is>
      </c>
      <c r="H155" s="2" t="inlineStr">
        <is>
          <t>num{zzzzzzzzzzzzzz9.99}</t>
        </is>
      </c>
      <c r="I155" s="2" t="inlineStr">
        <is>
          <t>Read-only</t>
        </is>
      </c>
      <c r="J155" s="2" t="inlineStr">
        <is>
          <t>Yes</t>
        </is>
      </c>
      <c r="K155" s="2" t="inlineStr"/>
      <c r="L155" s="2" t="inlineStr"/>
      <c r="M155" s="2" t="inlineStr"/>
    </row>
    <row r="156">
      <c r="A156" s="2" t="inlineStr">
        <is>
          <t>Page4.A9</t>
        </is>
      </c>
      <c r="B156" s="2" t="inlineStr">
        <is>
          <t>Page4</t>
        </is>
      </c>
      <c r="C156" s="2" t="inlineStr">
        <is>
          <t>numericEdit</t>
        </is>
      </c>
      <c r="D156" s="2" t="inlineStr">
        <is>
          <t>decimal</t>
        </is>
      </c>
      <c r="E156" s="2" t="inlineStr">
        <is>
          <t>14</t>
        </is>
      </c>
      <c r="F156" s="2" t="inlineStr"/>
      <c r="G156" s="2" t="inlineStr">
        <is>
          <t>num{zzzzzzzzzzzzzz9.99}</t>
        </is>
      </c>
      <c r="H156" s="2" t="inlineStr">
        <is>
          <t>num{zzzzzzzzzzzzzz9.99}</t>
        </is>
      </c>
      <c r="I156" s="2" t="inlineStr">
        <is>
          <t>Editable</t>
        </is>
      </c>
      <c r="J156" s="2" t="inlineStr"/>
      <c r="K156" s="2" t="inlineStr"/>
      <c r="L156" s="2" t="inlineStr"/>
      <c r="M156" s="2" t="inlineStr"/>
    </row>
    <row r="157">
      <c r="A157" s="2" t="inlineStr">
        <is>
          <t>Page4.A10</t>
        </is>
      </c>
      <c r="B157" s="2" t="inlineStr">
        <is>
          <t>Page4</t>
        </is>
      </c>
      <c r="C157" s="2" t="inlineStr">
        <is>
          <t>numericEdit</t>
        </is>
      </c>
      <c r="D157" s="2" t="inlineStr">
        <is>
          <t>decimal</t>
        </is>
      </c>
      <c r="E157" s="2" t="inlineStr">
        <is>
          <t>14</t>
        </is>
      </c>
      <c r="F157" s="2" t="inlineStr"/>
      <c r="G157" s="2" t="inlineStr">
        <is>
          <t>num{zzzzzzzzzzzzzz9.99}</t>
        </is>
      </c>
      <c r="H157" s="2" t="inlineStr">
        <is>
          <t>num{zzzzzzzzzzzzzz9.99}</t>
        </is>
      </c>
      <c r="I157" s="2" t="inlineStr">
        <is>
          <t>Read-only</t>
        </is>
      </c>
      <c r="J157" s="2" t="inlineStr">
        <is>
          <t>Yes</t>
        </is>
      </c>
      <c r="K157" s="2" t="inlineStr"/>
      <c r="L157" s="2" t="inlineStr"/>
      <c r="M157" s="2" t="inlineStr"/>
    </row>
    <row r="158">
      <c r="A158" s="2" t="inlineStr">
        <is>
          <t>Page6.A26</t>
        </is>
      </c>
      <c r="B158" s="2" t="inlineStr">
        <is>
          <t>Page6</t>
        </is>
      </c>
      <c r="C158" s="2" t="inlineStr">
        <is>
          <t>numericEdit</t>
        </is>
      </c>
      <c r="D158" s="2" t="inlineStr">
        <is>
          <t>decimal</t>
        </is>
      </c>
      <c r="E158" s="2" t="inlineStr">
        <is>
          <t>14</t>
        </is>
      </c>
      <c r="F158" s="2" t="inlineStr"/>
      <c r="G158" s="2" t="inlineStr">
        <is>
          <t>num{zzzzzzzzzzzzzz9.99}</t>
        </is>
      </c>
      <c r="H158" s="2" t="inlineStr">
        <is>
          <t>num{zzzzzzzzzzzzzz9.99}</t>
        </is>
      </c>
      <c r="I158" s="2" t="inlineStr">
        <is>
          <t>Editable</t>
        </is>
      </c>
      <c r="J158" s="2" t="inlineStr"/>
      <c r="K158" s="2" t="inlineStr"/>
      <c r="L158" s="2" t="inlineStr"/>
      <c r="M158" s="2" t="inlineStr"/>
    </row>
    <row r="159">
      <c r="A159" s="2" t="inlineStr">
        <is>
          <t>Page6.A27</t>
        </is>
      </c>
      <c r="B159" s="2" t="inlineStr">
        <is>
          <t>Page6</t>
        </is>
      </c>
      <c r="C159" s="2" t="inlineStr">
        <is>
          <t>numericEdit</t>
        </is>
      </c>
      <c r="D159" s="2" t="inlineStr">
        <is>
          <t>decimal</t>
        </is>
      </c>
      <c r="E159" s="2" t="inlineStr">
        <is>
          <t>14</t>
        </is>
      </c>
      <c r="F159" s="2" t="inlineStr"/>
      <c r="G159" s="2" t="inlineStr">
        <is>
          <t>num{zzzzzzzzzzzzzz9.99}</t>
        </is>
      </c>
      <c r="H159" s="2" t="inlineStr">
        <is>
          <t>num{zzzzzzzzzzzzzz9.99}</t>
        </is>
      </c>
      <c r="I159" s="2" t="inlineStr">
        <is>
          <t>Read-only</t>
        </is>
      </c>
      <c r="J159" s="2" t="inlineStr">
        <is>
          <t>Yes</t>
        </is>
      </c>
      <c r="K159" s="2" t="inlineStr"/>
      <c r="L159" s="2" t="inlineStr"/>
      <c r="M159" s="2" t="inlineStr"/>
    </row>
    <row r="160">
      <c r="A160" s="2" t="inlineStr">
        <is>
          <t>Page6.A28</t>
        </is>
      </c>
      <c r="B160" s="2" t="inlineStr">
        <is>
          <t>Page6</t>
        </is>
      </c>
      <c r="C160" s="2" t="inlineStr">
        <is>
          <t>numericEdit</t>
        </is>
      </c>
      <c r="D160" s="2" t="inlineStr">
        <is>
          <t>decimal</t>
        </is>
      </c>
      <c r="E160" s="2" t="inlineStr">
        <is>
          <t>14</t>
        </is>
      </c>
      <c r="F160" s="2" t="inlineStr"/>
      <c r="G160" s="2" t="inlineStr">
        <is>
          <t>num{zzzzzzzzzzzzzz9.99}</t>
        </is>
      </c>
      <c r="H160" s="2" t="inlineStr">
        <is>
          <t>num{zzzzzzzzzzzzzz9.99}</t>
        </is>
      </c>
      <c r="I160" s="2" t="inlineStr">
        <is>
          <t>Read-only</t>
        </is>
      </c>
      <c r="J160" s="2" t="inlineStr">
        <is>
          <t>Yes</t>
        </is>
      </c>
      <c r="K160" s="2" t="inlineStr"/>
      <c r="L160" s="2" t="inlineStr"/>
      <c r="M160" s="2" t="inlineStr"/>
    </row>
    <row r="161">
      <c r="A161" s="2" t="inlineStr">
        <is>
          <t>Page6.A29</t>
        </is>
      </c>
      <c r="B161" s="2" t="inlineStr">
        <is>
          <t>Page6</t>
        </is>
      </c>
      <c r="C161" s="2" t="inlineStr">
        <is>
          <t>numericEdit</t>
        </is>
      </c>
      <c r="D161" s="2" t="inlineStr">
        <is>
          <t>decimal</t>
        </is>
      </c>
      <c r="E161" s="2" t="inlineStr">
        <is>
          <t>14</t>
        </is>
      </c>
      <c r="F161" s="2" t="inlineStr"/>
      <c r="G161" s="2" t="inlineStr">
        <is>
          <t>num{zzzzzzzzzzzzzz9.99}</t>
        </is>
      </c>
      <c r="H161" s="2" t="inlineStr">
        <is>
          <t>num{zzzzzzzzzzzzzz9.99}</t>
        </is>
      </c>
      <c r="I161" s="2" t="inlineStr">
        <is>
          <t>Read-only</t>
        </is>
      </c>
      <c r="J161" s="2" t="inlineStr">
        <is>
          <t>Yes</t>
        </is>
      </c>
      <c r="K161" s="2" t="inlineStr"/>
      <c r="L161" s="2" t="inlineStr"/>
      <c r="M161" s="2" t="inlineStr"/>
    </row>
    <row r="162">
      <c r="A162" s="2" t="inlineStr">
        <is>
          <t>Page6.A30</t>
        </is>
      </c>
      <c r="B162" s="2" t="inlineStr">
        <is>
          <t>Page6</t>
        </is>
      </c>
      <c r="C162" s="2" t="inlineStr">
        <is>
          <t>numericEdit</t>
        </is>
      </c>
      <c r="D162" s="2" t="inlineStr">
        <is>
          <t>decimal</t>
        </is>
      </c>
      <c r="E162" s="2" t="inlineStr">
        <is>
          <t>14</t>
        </is>
      </c>
      <c r="F162" s="2" t="inlineStr"/>
      <c r="G162" s="2" t="inlineStr">
        <is>
          <t>num{zzzzzzzzzzzzzz9.99}</t>
        </is>
      </c>
      <c r="H162" s="2" t="inlineStr">
        <is>
          <t>num{zzzzzzzzzzzzzz9.99}</t>
        </is>
      </c>
      <c r="I162" s="2" t="inlineStr">
        <is>
          <t>Read-only</t>
        </is>
      </c>
      <c r="J162" s="2" t="inlineStr">
        <is>
          <t>Yes</t>
        </is>
      </c>
      <c r="K162" s="2" t="inlineStr"/>
      <c r="L162" s="2" t="inlineStr"/>
      <c r="M162" s="2" t="inlineStr"/>
    </row>
    <row r="163">
      <c r="A163" s="2" t="inlineStr">
        <is>
          <t>Page6.A31</t>
        </is>
      </c>
      <c r="B163" s="2" t="inlineStr">
        <is>
          <t>Page6</t>
        </is>
      </c>
      <c r="C163" s="2" t="inlineStr">
        <is>
          <t>numericEdit</t>
        </is>
      </c>
      <c r="D163" s="2" t="inlineStr">
        <is>
          <t>decimal</t>
        </is>
      </c>
      <c r="E163" s="2" t="inlineStr">
        <is>
          <t>14</t>
        </is>
      </c>
      <c r="F163" s="2" t="inlineStr"/>
      <c r="G163" s="2" t="inlineStr"/>
      <c r="H163" s="2" t="inlineStr">
        <is>
          <t>num{zzzzzzzzzzzzzz9.99}</t>
        </is>
      </c>
      <c r="I163" s="2" t="inlineStr">
        <is>
          <t>Read-only</t>
        </is>
      </c>
      <c r="J163" s="2" t="inlineStr">
        <is>
          <t>Yes</t>
        </is>
      </c>
      <c r="K163" s="2" t="inlineStr"/>
      <c r="L163" s="2" t="inlineStr"/>
      <c r="M163" s="2" t="inlineStr"/>
    </row>
    <row r="164">
      <c r="A164" s="2" t="inlineStr">
        <is>
          <t>Page6.A32</t>
        </is>
      </c>
      <c r="B164" s="2" t="inlineStr">
        <is>
          <t>Page6</t>
        </is>
      </c>
      <c r="C164" s="2" t="inlineStr">
        <is>
          <t>numericEdit</t>
        </is>
      </c>
      <c r="D164" s="2" t="inlineStr">
        <is>
          <t>decimal</t>
        </is>
      </c>
      <c r="E164" s="2" t="inlineStr">
        <is>
          <t>14</t>
        </is>
      </c>
      <c r="F164" s="2" t="inlineStr"/>
      <c r="G164" s="2" t="inlineStr"/>
      <c r="H164" s="2" t="inlineStr">
        <is>
          <t>num{zzzzzzzzzzzzzz9.99}</t>
        </is>
      </c>
      <c r="I164" s="2" t="inlineStr">
        <is>
          <t>Read-only</t>
        </is>
      </c>
      <c r="J164" s="2" t="inlineStr">
        <is>
          <t>Yes</t>
        </is>
      </c>
      <c r="K164" s="2" t="inlineStr"/>
      <c r="L164" s="2" t="inlineStr"/>
      <c r="M164" s="2" t="inlineStr"/>
    </row>
    <row r="165">
      <c r="A165" s="2" t="inlineStr">
        <is>
          <t>Page6.A33</t>
        </is>
      </c>
      <c r="B165" s="2" t="inlineStr">
        <is>
          <t>Page6</t>
        </is>
      </c>
      <c r="C165" s="2" t="inlineStr">
        <is>
          <t>numericEdit</t>
        </is>
      </c>
      <c r="D165" s="2" t="inlineStr">
        <is>
          <t>decimal</t>
        </is>
      </c>
      <c r="E165" s="2" t="inlineStr">
        <is>
          <t>14</t>
        </is>
      </c>
      <c r="F165" s="2" t="inlineStr"/>
      <c r="G165" s="2" t="inlineStr"/>
      <c r="H165" s="2" t="inlineStr">
        <is>
          <t>num{zzzzzzzzzzzzzz9.99}</t>
        </is>
      </c>
      <c r="I165" s="2" t="inlineStr">
        <is>
          <t>Read-only</t>
        </is>
      </c>
      <c r="J165" s="2" t="inlineStr">
        <is>
          <t>Yes</t>
        </is>
      </c>
      <c r="K165" s="2" t="inlineStr"/>
      <c r="L165" s="2" t="inlineStr"/>
      <c r="M165" s="2" t="inlineStr"/>
    </row>
    <row r="166">
      <c r="A166" s="2" t="inlineStr">
        <is>
          <t>Page6.A34</t>
        </is>
      </c>
      <c r="B166" s="2" t="inlineStr">
        <is>
          <t>Page6</t>
        </is>
      </c>
      <c r="C166" s="2" t="inlineStr">
        <is>
          <t>numericEdit</t>
        </is>
      </c>
      <c r="D166" s="2" t="inlineStr">
        <is>
          <t>decimal</t>
        </is>
      </c>
      <c r="E166" s="2" t="inlineStr">
        <is>
          <t>14</t>
        </is>
      </c>
      <c r="F166" s="2" t="inlineStr"/>
      <c r="G166" s="2" t="inlineStr">
        <is>
          <t>num{zzzzzzzzzzzzzz9.99}</t>
        </is>
      </c>
      <c r="H166" s="2" t="inlineStr">
        <is>
          <t>num{zzzzzzzzzzzzzz9.99}</t>
        </is>
      </c>
      <c r="I166" s="2" t="inlineStr">
        <is>
          <t>Read-only</t>
        </is>
      </c>
      <c r="J166" s="2" t="inlineStr">
        <is>
          <t>Yes</t>
        </is>
      </c>
      <c r="K166" s="2" t="inlineStr"/>
      <c r="L166" s="2" t="inlineStr"/>
      <c r="M166" s="2" t="inlineStr"/>
    </row>
    <row r="167">
      <c r="A167" s="2" t="inlineStr">
        <is>
          <t>Page6.A35</t>
        </is>
      </c>
      <c r="B167" s="2" t="inlineStr">
        <is>
          <t>Page6</t>
        </is>
      </c>
      <c r="C167" s="2" t="inlineStr">
        <is>
          <t>numericEdit</t>
        </is>
      </c>
      <c r="D167" s="2" t="inlineStr">
        <is>
          <t>decimal</t>
        </is>
      </c>
      <c r="E167" s="2" t="inlineStr">
        <is>
          <t>14</t>
        </is>
      </c>
      <c r="F167" s="2" t="inlineStr"/>
      <c r="G167" s="2" t="inlineStr">
        <is>
          <t>num{zzzzzzzzzzzzzz9.99}</t>
        </is>
      </c>
      <c r="H167" s="2" t="inlineStr">
        <is>
          <t>num{zzzzzzzzzzzzzz9.99}</t>
        </is>
      </c>
      <c r="I167" s="2" t="inlineStr">
        <is>
          <t>Read-only</t>
        </is>
      </c>
      <c r="J167" s="2" t="inlineStr">
        <is>
          <t>Yes</t>
        </is>
      </c>
      <c r="K167" s="2" t="inlineStr"/>
      <c r="L167" s="2" t="inlineStr"/>
      <c r="M167" s="2" t="inlineStr"/>
    </row>
    <row r="168">
      <c r="A168" s="2" t="inlineStr">
        <is>
          <t>Page6.A36</t>
        </is>
      </c>
      <c r="B168" s="2" t="inlineStr">
        <is>
          <t>Page6</t>
        </is>
      </c>
      <c r="C168" s="2" t="inlineStr">
        <is>
          <t>numericEdit</t>
        </is>
      </c>
      <c r="D168" s="2" t="inlineStr">
        <is>
          <t>decimal</t>
        </is>
      </c>
      <c r="E168" s="2" t="inlineStr">
        <is>
          <t>14</t>
        </is>
      </c>
      <c r="F168" s="2" t="inlineStr"/>
      <c r="G168" s="2" t="inlineStr">
        <is>
          <t>num{zzzzzzzzzzzzzz9.99}</t>
        </is>
      </c>
      <c r="H168" s="2" t="inlineStr">
        <is>
          <t>num{zzzzzzzzzzzzzz9.99}</t>
        </is>
      </c>
      <c r="I168" s="2" t="inlineStr">
        <is>
          <t>Read-only</t>
        </is>
      </c>
      <c r="J168" s="2" t="inlineStr">
        <is>
          <t>Yes</t>
        </is>
      </c>
      <c r="K168" s="2" t="inlineStr"/>
      <c r="L168" s="2" t="inlineStr"/>
      <c r="M168" s="2" t="inlineStr"/>
    </row>
    <row r="169">
      <c r="A169" s="2" t="inlineStr">
        <is>
          <t>Page6.A37</t>
        </is>
      </c>
      <c r="B169" s="2" t="inlineStr">
        <is>
          <t>Page6</t>
        </is>
      </c>
      <c r="C169" s="2" t="inlineStr">
        <is>
          <t>numericEdit</t>
        </is>
      </c>
      <c r="D169" s="2" t="inlineStr">
        <is>
          <t>decimal</t>
        </is>
      </c>
      <c r="E169" s="2" t="inlineStr">
        <is>
          <t>14</t>
        </is>
      </c>
      <c r="F169" s="2" t="inlineStr"/>
      <c r="G169" s="2" t="inlineStr">
        <is>
          <t>num{zzzzzzzzzzzzzz9.99}</t>
        </is>
      </c>
      <c r="H169" s="2" t="inlineStr">
        <is>
          <t>num{zzzzzzzzzzzzzz9.99}</t>
        </is>
      </c>
      <c r="I169" s="2" t="inlineStr">
        <is>
          <t>Read-only</t>
        </is>
      </c>
      <c r="J169" s="2" t="inlineStr">
        <is>
          <t>Yes</t>
        </is>
      </c>
      <c r="K169" s="2" t="inlineStr"/>
      <c r="L169" s="2" t="inlineStr"/>
      <c r="M169" s="2" t="inlineStr"/>
    </row>
    <row r="170">
      <c r="A170" s="2" t="inlineStr">
        <is>
          <t>Page6.AS1</t>
        </is>
      </c>
      <c r="B170" s="2" t="inlineStr">
        <is>
          <t>Page6</t>
        </is>
      </c>
      <c r="C170" s="2" t="inlineStr">
        <is>
          <t>numericEdit</t>
        </is>
      </c>
      <c r="D170" s="2" t="inlineStr">
        <is>
          <t>decimal</t>
        </is>
      </c>
      <c r="E170" s="2" t="inlineStr">
        <is>
          <t>14</t>
        </is>
      </c>
      <c r="F170" s="2" t="inlineStr"/>
      <c r="G170" s="2" t="inlineStr">
        <is>
          <t>num{zzzzzzzzzzzzzz9.99}</t>
        </is>
      </c>
      <c r="H170" s="2" t="inlineStr">
        <is>
          <t>num{zzzzzzzzzzzzzz9.99}</t>
        </is>
      </c>
      <c r="I170" s="2" t="inlineStr">
        <is>
          <t>Read-only</t>
        </is>
      </c>
      <c r="J170" s="2" t="inlineStr">
        <is>
          <t>Yes</t>
        </is>
      </c>
      <c r="K170" s="2" t="inlineStr"/>
      <c r="L170" s="2" t="inlineStr"/>
      <c r="M170" s="2" t="inlineStr"/>
    </row>
    <row r="171">
      <c r="A171" s="2" t="inlineStr">
        <is>
          <t>Page6.AS2</t>
        </is>
      </c>
      <c r="B171" s="2" t="inlineStr">
        <is>
          <t>Page6</t>
        </is>
      </c>
      <c r="C171" s="2" t="inlineStr">
        <is>
          <t>numericEdit</t>
        </is>
      </c>
      <c r="D171" s="2" t="inlineStr">
        <is>
          <t>decimal</t>
        </is>
      </c>
      <c r="E171" s="2" t="inlineStr">
        <is>
          <t>14</t>
        </is>
      </c>
      <c r="F171" s="2" t="inlineStr"/>
      <c r="G171" s="2" t="inlineStr"/>
      <c r="H171" s="2" t="inlineStr">
        <is>
          <t>num{zzzzzzzzzzzzzz9.99}</t>
        </is>
      </c>
      <c r="I171" s="2" t="inlineStr">
        <is>
          <t>Read-only</t>
        </is>
      </c>
      <c r="J171" s="2" t="inlineStr">
        <is>
          <t>Yes</t>
        </is>
      </c>
      <c r="K171" s="2" t="inlineStr"/>
      <c r="L171" s="2" t="inlineStr"/>
      <c r="M171" s="2" t="inlineStr"/>
    </row>
    <row r="172">
      <c r="A172" s="2" t="inlineStr">
        <is>
          <t>Page6.AS3</t>
        </is>
      </c>
      <c r="B172" s="2" t="inlineStr">
        <is>
          <t>Page6</t>
        </is>
      </c>
      <c r="C172" s="2" t="inlineStr">
        <is>
          <t>numericEdit</t>
        </is>
      </c>
      <c r="D172" s="2" t="inlineStr">
        <is>
          <t>decimal</t>
        </is>
      </c>
      <c r="E172" s="2" t="inlineStr">
        <is>
          <t>14</t>
        </is>
      </c>
      <c r="F172" s="2" t="inlineStr"/>
      <c r="G172" s="2" t="inlineStr"/>
      <c r="H172" s="2" t="inlineStr">
        <is>
          <t>num{zzzzzzzzzzzzzz9.99}</t>
        </is>
      </c>
      <c r="I172" s="2" t="inlineStr">
        <is>
          <t>Read-only</t>
        </is>
      </c>
      <c r="J172" s="2" t="inlineStr">
        <is>
          <t>Yes</t>
        </is>
      </c>
      <c r="K172" s="2" t="inlineStr"/>
      <c r="L172" s="2" t="inlineStr"/>
      <c r="M172" s="2" t="inlineStr"/>
    </row>
    <row r="173">
      <c r="A173" s="2" t="inlineStr">
        <is>
          <t>Page6.AS4</t>
        </is>
      </c>
      <c r="B173" s="2" t="inlineStr">
        <is>
          <t>Page6</t>
        </is>
      </c>
      <c r="C173" s="2" t="inlineStr">
        <is>
          <t>numericEdit</t>
        </is>
      </c>
      <c r="D173" s="2" t="inlineStr">
        <is>
          <t>decimal</t>
        </is>
      </c>
      <c r="E173" s="2" t="inlineStr">
        <is>
          <t>14</t>
        </is>
      </c>
      <c r="F173" s="2" t="inlineStr"/>
      <c r="G173" s="2" t="inlineStr"/>
      <c r="H173" s="2" t="inlineStr">
        <is>
          <t>num{zzzzzzzzzzzzzz9.99}</t>
        </is>
      </c>
      <c r="I173" s="2" t="inlineStr">
        <is>
          <t>Read-only</t>
        </is>
      </c>
      <c r="J173" s="2" t="inlineStr">
        <is>
          <t>Yes</t>
        </is>
      </c>
      <c r="K173" s="2" t="inlineStr"/>
      <c r="L173" s="2" t="inlineStr"/>
      <c r="M173" s="2" t="inlineStr"/>
    </row>
    <row r="174">
      <c r="A174" s="2" t="inlineStr">
        <is>
          <t>Page6.A38</t>
        </is>
      </c>
      <c r="B174" s="2" t="inlineStr">
        <is>
          <t>Page6</t>
        </is>
      </c>
      <c r="C174" s="2" t="inlineStr">
        <is>
          <t>numericEdit</t>
        </is>
      </c>
      <c r="D174" s="2" t="inlineStr">
        <is>
          <t>decimal</t>
        </is>
      </c>
      <c r="E174" s="2" t="inlineStr">
        <is>
          <t>14</t>
        </is>
      </c>
      <c r="F174" s="2" t="inlineStr"/>
      <c r="G174" s="2" t="inlineStr">
        <is>
          <t>num{zzzzzzzzzzzzzz9.99}</t>
        </is>
      </c>
      <c r="H174" s="2" t="inlineStr">
        <is>
          <t>num{zzzzzzzzzzzzzz9.99}</t>
        </is>
      </c>
      <c r="I174" s="2" t="inlineStr">
        <is>
          <t>Read-only</t>
        </is>
      </c>
      <c r="J174" s="2" t="inlineStr">
        <is>
          <t>Yes</t>
        </is>
      </c>
      <c r="K174" s="2" t="inlineStr"/>
      <c r="L174" s="2" t="inlineStr"/>
      <c r="M174" s="2" t="inlineStr"/>
    </row>
    <row r="175">
      <c r="A175" s="2" t="inlineStr">
        <is>
          <t>Page6.A39</t>
        </is>
      </c>
      <c r="B175" s="2" t="inlineStr">
        <is>
          <t>Page6</t>
        </is>
      </c>
      <c r="C175" s="2" t="inlineStr">
        <is>
          <t>numericEdit</t>
        </is>
      </c>
      <c r="D175" s="2" t="inlineStr">
        <is>
          <t>decimal</t>
        </is>
      </c>
      <c r="E175" s="2" t="inlineStr">
        <is>
          <t>14</t>
        </is>
      </c>
      <c r="F175" s="2" t="inlineStr"/>
      <c r="G175" s="2" t="inlineStr">
        <is>
          <t>num{zzzzzzzzzzzzzz9.99}</t>
        </is>
      </c>
      <c r="H175" s="2" t="inlineStr">
        <is>
          <t>num{zzzzzzzzzzzzzz9.99}</t>
        </is>
      </c>
      <c r="I175" s="2" t="inlineStr">
        <is>
          <t>Read-only</t>
        </is>
      </c>
      <c r="J175" s="2" t="inlineStr">
        <is>
          <t>Yes</t>
        </is>
      </c>
      <c r="K175" s="2" t="inlineStr"/>
      <c r="L175" s="2" t="inlineStr"/>
      <c r="M175" s="2" t="inlineStr"/>
    </row>
    <row r="176">
      <c r="A176" s="2" t="inlineStr">
        <is>
          <t>Page6.A40</t>
        </is>
      </c>
      <c r="B176" s="2" t="inlineStr">
        <is>
          <t>Page6</t>
        </is>
      </c>
      <c r="C176" s="2" t="inlineStr">
        <is>
          <t>numericEdit</t>
        </is>
      </c>
      <c r="D176" s="2" t="inlineStr">
        <is>
          <t>decimal</t>
        </is>
      </c>
      <c r="E176" s="2" t="inlineStr">
        <is>
          <t>14</t>
        </is>
      </c>
      <c r="F176" s="2" t="inlineStr"/>
      <c r="G176" s="2" t="inlineStr">
        <is>
          <t>num{zzzzzzzzzzzzzz9.99}</t>
        </is>
      </c>
      <c r="H176" s="2" t="inlineStr">
        <is>
          <t>num{zzzzzzzzzzzzzz9.99}</t>
        </is>
      </c>
      <c r="I176" s="2" t="inlineStr">
        <is>
          <t>Read-only</t>
        </is>
      </c>
      <c r="J176" s="2" t="inlineStr">
        <is>
          <t>Yes</t>
        </is>
      </c>
      <c r="K176" s="2" t="inlineStr"/>
      <c r="L176" s="2" t="inlineStr"/>
      <c r="M176" s="2" t="inlineStr"/>
    </row>
    <row r="177">
      <c r="A177" s="2" t="inlineStr">
        <is>
          <t>Page6.A41</t>
        </is>
      </c>
      <c r="B177" s="2" t="inlineStr">
        <is>
          <t>Page6</t>
        </is>
      </c>
      <c r="C177" s="2" t="inlineStr">
        <is>
          <t>numericEdit</t>
        </is>
      </c>
      <c r="D177" s="2" t="inlineStr">
        <is>
          <t>decimal</t>
        </is>
      </c>
      <c r="E177" s="2" t="inlineStr">
        <is>
          <t>14</t>
        </is>
      </c>
      <c r="F177" s="2" t="inlineStr"/>
      <c r="G177" s="2" t="inlineStr">
        <is>
          <t>num{zzzzzzzzzzzzzz9.99}</t>
        </is>
      </c>
      <c r="H177" s="2" t="inlineStr">
        <is>
          <t>num{zzzzzzzzzzzzzz9.99}</t>
        </is>
      </c>
      <c r="I177" s="2" t="inlineStr">
        <is>
          <t>Read-only</t>
        </is>
      </c>
      <c r="J177" s="2" t="inlineStr">
        <is>
          <t>Yes</t>
        </is>
      </c>
      <c r="K177" s="2" t="inlineStr"/>
      <c r="L177" s="2" t="inlineStr"/>
      <c r="M177" s="2" t="inlineStr"/>
    </row>
    <row r="178">
      <c r="A178" s="2" t="inlineStr">
        <is>
          <t>Page6.A42</t>
        </is>
      </c>
      <c r="B178" s="2" t="inlineStr">
        <is>
          <t>Page6</t>
        </is>
      </c>
      <c r="C178" s="2" t="inlineStr">
        <is>
          <t>numericEdit</t>
        </is>
      </c>
      <c r="D178" s="2" t="inlineStr">
        <is>
          <t>decimal</t>
        </is>
      </c>
      <c r="E178" s="2" t="inlineStr">
        <is>
          <t>14</t>
        </is>
      </c>
      <c r="F178" s="2" t="inlineStr"/>
      <c r="G178" s="2" t="inlineStr">
        <is>
          <t>num{zzzzzzzzzzzzzz9.99}</t>
        </is>
      </c>
      <c r="H178" s="2" t="inlineStr">
        <is>
          <t>num{zzzzzzzzzzzzzz9.99}</t>
        </is>
      </c>
      <c r="I178" s="2" t="inlineStr">
        <is>
          <t>Read-only</t>
        </is>
      </c>
      <c r="J178" s="2" t="inlineStr">
        <is>
          <t>Yes</t>
        </is>
      </c>
      <c r="K178" s="2" t="inlineStr"/>
      <c r="L178" s="2" t="inlineStr"/>
      <c r="M178" s="2" t="inlineStr"/>
    </row>
    <row r="179">
      <c r="A179" s="2" t="inlineStr">
        <is>
          <t>Page6.A43</t>
        </is>
      </c>
      <c r="B179" s="2" t="inlineStr">
        <is>
          <t>Page6</t>
        </is>
      </c>
      <c r="C179" s="2" t="inlineStr">
        <is>
          <t>numericEdit</t>
        </is>
      </c>
      <c r="D179" s="2" t="inlineStr">
        <is>
          <t>decimal</t>
        </is>
      </c>
      <c r="E179" s="2" t="inlineStr">
        <is>
          <t>14</t>
        </is>
      </c>
      <c r="F179" s="2" t="inlineStr"/>
      <c r="G179" s="2" t="inlineStr">
        <is>
          <t>num{zzzzzzzzzzzzzz9.99}</t>
        </is>
      </c>
      <c r="H179" s="2" t="inlineStr">
        <is>
          <t>num{zzzzzzzzzzzzzz9.99}</t>
        </is>
      </c>
      <c r="I179" s="2" t="inlineStr">
        <is>
          <t>Read-only</t>
        </is>
      </c>
      <c r="J179" s="2" t="inlineStr">
        <is>
          <t>Yes</t>
        </is>
      </c>
      <c r="K179" s="2" t="inlineStr"/>
      <c r="L179" s="2" t="inlineStr"/>
      <c r="M179" s="2" t="inlineStr"/>
    </row>
    <row r="180">
      <c r="A180" s="2" t="inlineStr">
        <is>
          <t>Page6.A44</t>
        </is>
      </c>
      <c r="B180" s="2" t="inlineStr">
        <is>
          <t>Page6</t>
        </is>
      </c>
      <c r="C180" s="2" t="inlineStr">
        <is>
          <t>numericEdit</t>
        </is>
      </c>
      <c r="D180" s="2" t="inlineStr">
        <is>
          <t>decimal</t>
        </is>
      </c>
      <c r="E180" s="2" t="inlineStr">
        <is>
          <t>14</t>
        </is>
      </c>
      <c r="F180" s="2" t="inlineStr"/>
      <c r="G180" s="2" t="inlineStr">
        <is>
          <t>num{zzzzzzzzzzzzzz9.99}</t>
        </is>
      </c>
      <c r="H180" s="2" t="inlineStr">
        <is>
          <t>num{zzzzzzzzzzzzzz9.99}</t>
        </is>
      </c>
      <c r="I180" s="2" t="inlineStr">
        <is>
          <t>Read-only</t>
        </is>
      </c>
      <c r="J180" s="2" t="inlineStr">
        <is>
          <t>Yes</t>
        </is>
      </c>
      <c r="K180" s="2" t="inlineStr"/>
      <c r="L180" s="2" t="inlineStr"/>
      <c r="M180" s="2" t="inlineStr"/>
    </row>
    <row r="181">
      <c r="A181" s="2" t="inlineStr">
        <is>
          <t>Page6.A45</t>
        </is>
      </c>
      <c r="B181" s="2" t="inlineStr">
        <is>
          <t>Page6</t>
        </is>
      </c>
      <c r="C181" s="2" t="inlineStr">
        <is>
          <t>numericEdit</t>
        </is>
      </c>
      <c r="D181" s="2" t="inlineStr">
        <is>
          <t>decimal</t>
        </is>
      </c>
      <c r="E181" s="2" t="inlineStr">
        <is>
          <t>14</t>
        </is>
      </c>
      <c r="F181" s="2" t="inlineStr"/>
      <c r="G181" s="2" t="inlineStr">
        <is>
          <t>num{zzzzzzzzzzzzzz9.99}</t>
        </is>
      </c>
      <c r="H181" s="2" t="inlineStr">
        <is>
          <t>num{zzzzzzzzzzzzzz9.99}</t>
        </is>
      </c>
      <c r="I181" s="2" t="inlineStr">
        <is>
          <t>Read-only</t>
        </is>
      </c>
      <c r="J181" s="2" t="inlineStr">
        <is>
          <t>Yes</t>
        </is>
      </c>
      <c r="K181" s="2" t="inlineStr"/>
      <c r="L181" s="2" t="inlineStr"/>
      <c r="M181" s="2" t="inlineStr"/>
    </row>
    <row r="182">
      <c r="A182" s="2" t="inlineStr">
        <is>
          <t>Page6.A46</t>
        </is>
      </c>
      <c r="B182" s="2" t="inlineStr">
        <is>
          <t>Page6</t>
        </is>
      </c>
      <c r="C182" s="2" t="inlineStr">
        <is>
          <t>numericEdit</t>
        </is>
      </c>
      <c r="D182" s="2" t="inlineStr">
        <is>
          <t>decimal</t>
        </is>
      </c>
      <c r="E182" s="2" t="inlineStr">
        <is>
          <t>14</t>
        </is>
      </c>
      <c r="F182" s="2" t="inlineStr"/>
      <c r="G182" s="2" t="inlineStr"/>
      <c r="H182" s="2" t="inlineStr">
        <is>
          <t>num{zzzzzzzzzzzzzz9.99}</t>
        </is>
      </c>
      <c r="I182" s="2" t="inlineStr">
        <is>
          <t>Read-only</t>
        </is>
      </c>
      <c r="J182" s="2" t="inlineStr">
        <is>
          <t>Yes</t>
        </is>
      </c>
      <c r="K182" s="2" t="inlineStr">
        <is>
          <t>Yes</t>
        </is>
      </c>
      <c r="L182" s="2" t="inlineStr"/>
      <c r="M182" s="2" t="inlineStr"/>
    </row>
    <row r="183">
      <c r="A183" s="2" t="inlineStr">
        <is>
          <t>Page6.A47</t>
        </is>
      </c>
      <c r="B183" s="2" t="inlineStr">
        <is>
          <t>Page6</t>
        </is>
      </c>
      <c r="C183" s="2" t="inlineStr">
        <is>
          <t>numericEdit</t>
        </is>
      </c>
      <c r="D183" s="2" t="inlineStr">
        <is>
          <t>decimal</t>
        </is>
      </c>
      <c r="E183" s="2" t="inlineStr">
        <is>
          <t>14</t>
        </is>
      </c>
      <c r="F183" s="2" t="inlineStr"/>
      <c r="G183" s="2" t="inlineStr">
        <is>
          <t>num{zzzzzzzzzzzzzz9.99}</t>
        </is>
      </c>
      <c r="H183" s="2" t="inlineStr">
        <is>
          <t>num{zzzzzzzzzzzzzz9.99}</t>
        </is>
      </c>
      <c r="I183" s="2" t="inlineStr">
        <is>
          <t>Read-only</t>
        </is>
      </c>
      <c r="J183" s="2" t="inlineStr">
        <is>
          <t>Yes</t>
        </is>
      </c>
      <c r="K183" s="2" t="inlineStr"/>
      <c r="L183" s="2" t="inlineStr"/>
      <c r="M183" s="2" t="inlineStr"/>
    </row>
    <row r="184">
      <c r="A184" s="2" t="inlineStr">
        <is>
          <t>Page6.A48</t>
        </is>
      </c>
      <c r="B184" s="2" t="inlineStr">
        <is>
          <t>Page6</t>
        </is>
      </c>
      <c r="C184" s="2" t="inlineStr">
        <is>
          <t>numericEdit</t>
        </is>
      </c>
      <c r="D184" s="2" t="inlineStr">
        <is>
          <t>decimal</t>
        </is>
      </c>
      <c r="E184" s="2" t="inlineStr">
        <is>
          <t>14</t>
        </is>
      </c>
      <c r="F184" s="2" t="inlineStr"/>
      <c r="G184" s="2" t="inlineStr">
        <is>
          <t>num{zzzzzzzzzzzzzz9.99}</t>
        </is>
      </c>
      <c r="H184" s="2" t="inlineStr">
        <is>
          <t>num{zzzzzzzzzzzzzz9.99}</t>
        </is>
      </c>
      <c r="I184" s="2" t="inlineStr">
        <is>
          <t>Read-only</t>
        </is>
      </c>
      <c r="J184" s="2" t="inlineStr">
        <is>
          <t>Yes</t>
        </is>
      </c>
      <c r="K184" s="2" t="inlineStr"/>
      <c r="L184" s="2" t="inlineStr"/>
      <c r="M184" s="2" t="inlineStr"/>
    </row>
    <row r="185">
      <c r="A185" s="2" t="inlineStr">
        <is>
          <t>Page6.A49</t>
        </is>
      </c>
      <c r="B185" s="2" t="inlineStr">
        <is>
          <t>Page6</t>
        </is>
      </c>
      <c r="C185" s="2" t="inlineStr">
        <is>
          <t>numericEdit</t>
        </is>
      </c>
      <c r="D185" s="2" t="inlineStr">
        <is>
          <t>decimal</t>
        </is>
      </c>
      <c r="E185" s="2" t="inlineStr">
        <is>
          <t>14</t>
        </is>
      </c>
      <c r="F185" s="2" t="inlineStr"/>
      <c r="G185" s="2" t="inlineStr">
        <is>
          <t>num{zzzzzzzzzzzzzz9.99}</t>
        </is>
      </c>
      <c r="H185" s="2" t="inlineStr">
        <is>
          <t>num{zzzzzzzzzzzzzz9.99}</t>
        </is>
      </c>
      <c r="I185" s="2" t="inlineStr">
        <is>
          <t>Read-only</t>
        </is>
      </c>
      <c r="J185" s="2" t="inlineStr">
        <is>
          <t>Yes</t>
        </is>
      </c>
      <c r="K185" s="2" t="inlineStr"/>
      <c r="L185" s="2" t="inlineStr"/>
      <c r="M185" s="2" t="inlineStr"/>
    </row>
    <row r="186">
      <c r="A186" s="2" t="inlineStr">
        <is>
          <t>Page6.A50</t>
        </is>
      </c>
      <c r="B186" s="2" t="inlineStr">
        <is>
          <t>Page6</t>
        </is>
      </c>
      <c r="C186" s="2" t="inlineStr">
        <is>
          <t>numericEdit</t>
        </is>
      </c>
      <c r="D186" s="2" t="inlineStr">
        <is>
          <t>decimal</t>
        </is>
      </c>
      <c r="E186" s="2" t="inlineStr">
        <is>
          <t>14</t>
        </is>
      </c>
      <c r="F186" s="2" t="inlineStr"/>
      <c r="G186" s="2" t="inlineStr">
        <is>
          <t>num{zzzzzzzzzzzzzz9.99}</t>
        </is>
      </c>
      <c r="H186" s="2" t="inlineStr">
        <is>
          <t>num{zzzzzzzzzzzzzz9.99}</t>
        </is>
      </c>
      <c r="I186" s="2" t="inlineStr">
        <is>
          <t>Read-only</t>
        </is>
      </c>
      <c r="J186" s="2" t="inlineStr">
        <is>
          <t>Yes</t>
        </is>
      </c>
      <c r="K186" s="2" t="inlineStr"/>
      <c r="L186" s="2" t="inlineStr"/>
      <c r="M186" s="2" t="inlineStr"/>
    </row>
    <row r="187">
      <c r="A187" s="2" t="inlineStr">
        <is>
          <t>Page6.A51</t>
        </is>
      </c>
      <c r="B187" s="2" t="inlineStr">
        <is>
          <t>Page6</t>
        </is>
      </c>
      <c r="C187" s="2" t="inlineStr">
        <is>
          <t>numericEdit</t>
        </is>
      </c>
      <c r="D187" s="2" t="inlineStr">
        <is>
          <t>decimal</t>
        </is>
      </c>
      <c r="E187" s="2" t="inlineStr">
        <is>
          <t>14</t>
        </is>
      </c>
      <c r="F187" s="2" t="inlineStr"/>
      <c r="G187" s="2" t="inlineStr">
        <is>
          <t>num{zzzzzzzzzzzzzz9.99}</t>
        </is>
      </c>
      <c r="H187" s="2" t="inlineStr">
        <is>
          <t>num{zzzzzzzzzzzzzz9.99}</t>
        </is>
      </c>
      <c r="I187" s="2" t="inlineStr">
        <is>
          <t>Editable</t>
        </is>
      </c>
      <c r="J187" s="2" t="inlineStr"/>
      <c r="K187" s="2" t="inlineStr"/>
      <c r="L187" s="2" t="inlineStr"/>
      <c r="M187" s="2" t="inlineStr"/>
    </row>
    <row r="188">
      <c r="A188" s="2" t="inlineStr">
        <is>
          <t>Page6.A52</t>
        </is>
      </c>
      <c r="B188" s="2" t="inlineStr">
        <is>
          <t>Page6</t>
        </is>
      </c>
      <c r="C188" s="2" t="inlineStr">
        <is>
          <t>numericEdit</t>
        </is>
      </c>
      <c r="D188" s="2" t="inlineStr">
        <is>
          <t>decimal</t>
        </is>
      </c>
      <c r="E188" s="2" t="inlineStr">
        <is>
          <t>14</t>
        </is>
      </c>
      <c r="F188" s="2" t="inlineStr"/>
      <c r="G188" s="2" t="inlineStr">
        <is>
          <t>num{zzzzzzzzzzzzzz9.99}</t>
        </is>
      </c>
      <c r="H188" s="2" t="inlineStr">
        <is>
          <t>num{zzzzzzzzzzzzzz9.99}</t>
        </is>
      </c>
      <c r="I188" s="2" t="inlineStr">
        <is>
          <t>Read-only</t>
        </is>
      </c>
      <c r="J188" s="2" t="inlineStr">
        <is>
          <t>Yes</t>
        </is>
      </c>
      <c r="K188" s="2" t="inlineStr"/>
      <c r="L188" s="2" t="inlineStr"/>
      <c r="M188" s="2" t="inlineStr"/>
    </row>
    <row r="189">
      <c r="A189" s="2" t="inlineStr">
        <is>
          <t>Page6.A53</t>
        </is>
      </c>
      <c r="B189" s="2" t="inlineStr">
        <is>
          <t>Page6</t>
        </is>
      </c>
      <c r="C189" s="2" t="inlineStr">
        <is>
          <t>numericEdit</t>
        </is>
      </c>
      <c r="D189" s="2" t="inlineStr">
        <is>
          <t>decimal</t>
        </is>
      </c>
      <c r="E189" s="2" t="inlineStr">
        <is>
          <t>14</t>
        </is>
      </c>
      <c r="F189" s="2" t="inlineStr"/>
      <c r="G189" s="2" t="inlineStr">
        <is>
          <t>num{zzzzzzzzzzzzzz9.99}</t>
        </is>
      </c>
      <c r="H189" s="2" t="inlineStr">
        <is>
          <t>num{zzzzzzzzzzzzzz9.99}</t>
        </is>
      </c>
      <c r="I189" s="2" t="inlineStr">
        <is>
          <t>Read-only</t>
        </is>
      </c>
      <c r="J189" s="2" t="inlineStr">
        <is>
          <t>Yes</t>
        </is>
      </c>
      <c r="K189" s="2" t="inlineStr"/>
      <c r="L189" s="2" t="inlineStr"/>
      <c r="M189" s="2" t="inlineStr"/>
    </row>
    <row r="190">
      <c r="A190" s="2" t="inlineStr">
        <is>
          <t>Page6.A54</t>
        </is>
      </c>
      <c r="B190" s="2" t="inlineStr">
        <is>
          <t>Page6</t>
        </is>
      </c>
      <c r="C190" s="2" t="inlineStr">
        <is>
          <t>numericEdit</t>
        </is>
      </c>
      <c r="D190" s="2" t="inlineStr">
        <is>
          <t>decimal</t>
        </is>
      </c>
      <c r="E190" s="2" t="inlineStr">
        <is>
          <t>14</t>
        </is>
      </c>
      <c r="F190" s="2" t="inlineStr"/>
      <c r="G190" s="2" t="inlineStr">
        <is>
          <t>num{zzzzzzzzzzzzzz9.99}</t>
        </is>
      </c>
      <c r="H190" s="2" t="inlineStr">
        <is>
          <t>num{zzzzzzzzzzzzzz9.99}</t>
        </is>
      </c>
      <c r="I190" s="2" t="inlineStr">
        <is>
          <t>Read-only</t>
        </is>
      </c>
      <c r="J190" s="2" t="inlineStr">
        <is>
          <t>Yes</t>
        </is>
      </c>
      <c r="K190" s="2" t="inlineStr"/>
      <c r="L190" s="2" t="inlineStr"/>
      <c r="M190" s="2" t="inlineStr"/>
    </row>
    <row r="191">
      <c r="A191" s="2" t="inlineStr">
        <is>
          <t>Page6.A55</t>
        </is>
      </c>
      <c r="B191" s="2" t="inlineStr">
        <is>
          <t>Page6</t>
        </is>
      </c>
      <c r="C191" s="2" t="inlineStr">
        <is>
          <t>numericEdit</t>
        </is>
      </c>
      <c r="D191" s="2" t="inlineStr">
        <is>
          <t>decimal</t>
        </is>
      </c>
      <c r="E191" s="2" t="inlineStr">
        <is>
          <t>14</t>
        </is>
      </c>
      <c r="F191" s="2" t="inlineStr"/>
      <c r="G191" s="2" t="inlineStr">
        <is>
          <t>num{zzzzzzzzzzzzzz9.99}</t>
        </is>
      </c>
      <c r="H191" s="2" t="inlineStr">
        <is>
          <t>num{zzzzzzzzzzzzzz9.99}</t>
        </is>
      </c>
      <c r="I191" s="2" t="inlineStr">
        <is>
          <t>Read-only</t>
        </is>
      </c>
      <c r="J191" s="2" t="inlineStr">
        <is>
          <t>Yes</t>
        </is>
      </c>
      <c r="K191" s="2" t="inlineStr"/>
      <c r="L191" s="2" t="inlineStr"/>
      <c r="M191" s="2" t="inlineStr"/>
    </row>
    <row r="192">
      <c r="A192" s="2" t="inlineStr">
        <is>
          <t>Page6.A56</t>
        </is>
      </c>
      <c r="B192" s="2" t="inlineStr">
        <is>
          <t>Page6</t>
        </is>
      </c>
      <c r="C192" s="2" t="inlineStr">
        <is>
          <t>numericEdit</t>
        </is>
      </c>
      <c r="D192" s="2" t="inlineStr">
        <is>
          <t>decimal</t>
        </is>
      </c>
      <c r="E192" s="2" t="inlineStr">
        <is>
          <t>14</t>
        </is>
      </c>
      <c r="F192" s="2" t="inlineStr"/>
      <c r="G192" s="2" t="inlineStr">
        <is>
          <t>num{zzzzzzzzzzzzzz9.99}</t>
        </is>
      </c>
      <c r="H192" s="2" t="inlineStr">
        <is>
          <t>num{zzzzzzzzzzzzzz9.99}</t>
        </is>
      </c>
      <c r="I192" s="2" t="inlineStr">
        <is>
          <t>Read-only</t>
        </is>
      </c>
      <c r="J192" s="2" t="inlineStr">
        <is>
          <t>Yes</t>
        </is>
      </c>
      <c r="K192" s="2" t="inlineStr"/>
      <c r="L192" s="2" t="inlineStr"/>
      <c r="M192" s="2" t="inlineStr"/>
    </row>
    <row r="193">
      <c r="A193" s="2" t="inlineStr">
        <is>
          <t>Page7.B57</t>
        </is>
      </c>
      <c r="B193" s="2" t="inlineStr">
        <is>
          <t>Page7</t>
        </is>
      </c>
      <c r="C193" s="2" t="inlineStr">
        <is>
          <t>numericEdit</t>
        </is>
      </c>
      <c r="D193" s="2" t="inlineStr">
        <is>
          <t>decimal</t>
        </is>
      </c>
      <c r="E193" s="2" t="inlineStr">
        <is>
          <t>14</t>
        </is>
      </c>
      <c r="F193" s="2" t="inlineStr"/>
      <c r="G193" s="2" t="inlineStr">
        <is>
          <t>num{zzzzzzzzzzzzzz9.99}</t>
        </is>
      </c>
      <c r="H193" s="2" t="inlineStr">
        <is>
          <t>num{zzzzzzzzzzzzzz9.99}</t>
        </is>
      </c>
      <c r="I193" s="2" t="inlineStr">
        <is>
          <t>Read-only</t>
        </is>
      </c>
      <c r="J193" s="2" t="inlineStr">
        <is>
          <t>Yes</t>
        </is>
      </c>
      <c r="K193" s="2" t="inlineStr"/>
      <c r="L193" s="2" t="inlineStr"/>
      <c r="M193" s="2" t="inlineStr"/>
    </row>
    <row r="194">
      <c r="A194" s="2" t="inlineStr">
        <is>
          <t>Page7.B58</t>
        </is>
      </c>
      <c r="B194" s="2" t="inlineStr">
        <is>
          <t>Page7</t>
        </is>
      </c>
      <c r="C194" s="2" t="inlineStr">
        <is>
          <t>numericEdit</t>
        </is>
      </c>
      <c r="D194" s="2" t="inlineStr">
        <is>
          <t>decimal</t>
        </is>
      </c>
      <c r="E194" s="2" t="inlineStr">
        <is>
          <t>14</t>
        </is>
      </c>
      <c r="F194" s="2" t="inlineStr"/>
      <c r="G194" s="2" t="inlineStr">
        <is>
          <t>num{zzzzzzzzzzzzzz9.99}</t>
        </is>
      </c>
      <c r="H194" s="2" t="inlineStr">
        <is>
          <t>num{zzzzzzzzzzzzzz9.99}</t>
        </is>
      </c>
      <c r="I194" s="2" t="inlineStr">
        <is>
          <t>Editable</t>
        </is>
      </c>
      <c r="J194" s="2" t="inlineStr"/>
      <c r="K194" s="2" t="inlineStr"/>
      <c r="L194" s="2" t="inlineStr"/>
      <c r="M194" s="2" t="inlineStr"/>
    </row>
    <row r="195">
      <c r="A195" s="2" t="inlineStr">
        <is>
          <t>Page7.B59</t>
        </is>
      </c>
      <c r="B195" s="2" t="inlineStr">
        <is>
          <t>Page7</t>
        </is>
      </c>
      <c r="C195" s="2" t="inlineStr">
        <is>
          <t>numericEdit</t>
        </is>
      </c>
      <c r="D195" s="2" t="inlineStr">
        <is>
          <t>decimal</t>
        </is>
      </c>
      <c r="E195" s="2" t="inlineStr">
        <is>
          <t>14</t>
        </is>
      </c>
      <c r="F195" s="2" t="inlineStr"/>
      <c r="G195" s="2" t="inlineStr">
        <is>
          <t>num{zzzzzzzzzzzzzz9.99}</t>
        </is>
      </c>
      <c r="H195" s="2" t="inlineStr">
        <is>
          <t>num{zzzzzzzzzzzzzz9.99}</t>
        </is>
      </c>
      <c r="I195" s="2" t="inlineStr">
        <is>
          <t>Read-only</t>
        </is>
      </c>
      <c r="J195" s="2" t="inlineStr">
        <is>
          <t>Yes</t>
        </is>
      </c>
      <c r="K195" s="2" t="inlineStr"/>
      <c r="L195" s="2" t="inlineStr"/>
      <c r="M195" s="2" t="inlineStr"/>
    </row>
    <row r="196">
      <c r="A196" s="2" t="inlineStr">
        <is>
          <t>Page7.B60</t>
        </is>
      </c>
      <c r="B196" s="2" t="inlineStr">
        <is>
          <t>Page7</t>
        </is>
      </c>
      <c r="C196" s="2" t="inlineStr">
        <is>
          <t>numericEdit</t>
        </is>
      </c>
      <c r="D196" s="2" t="inlineStr">
        <is>
          <t>decimal</t>
        </is>
      </c>
      <c r="E196" s="2" t="inlineStr">
        <is>
          <t>14</t>
        </is>
      </c>
      <c r="F196" s="2" t="inlineStr"/>
      <c r="G196" s="2" t="inlineStr">
        <is>
          <t>num{zzzzzzzzzzzzzz9.99}</t>
        </is>
      </c>
      <c r="H196" s="2" t="inlineStr">
        <is>
          <t>num{zzzzzzzzzzzzzz9.99}</t>
        </is>
      </c>
      <c r="I196" s="2" t="inlineStr">
        <is>
          <t>Editable</t>
        </is>
      </c>
      <c r="J196" s="2" t="inlineStr"/>
      <c r="K196" s="2" t="inlineStr"/>
      <c r="L196" s="2" t="inlineStr"/>
      <c r="M196" s="2" t="inlineStr"/>
    </row>
    <row r="197">
      <c r="A197" s="2" t="inlineStr">
        <is>
          <t>Page7.B61</t>
        </is>
      </c>
      <c r="B197" s="2" t="inlineStr">
        <is>
          <t>Page7</t>
        </is>
      </c>
      <c r="C197" s="2" t="inlineStr">
        <is>
          <t>numericEdit</t>
        </is>
      </c>
      <c r="D197" s="2" t="inlineStr">
        <is>
          <t>decimal</t>
        </is>
      </c>
      <c r="E197" s="2" t="inlineStr">
        <is>
          <t>14</t>
        </is>
      </c>
      <c r="F197" s="2" t="inlineStr"/>
      <c r="G197" s="2" t="inlineStr">
        <is>
          <t>num{zzzzzzzzzzzzzz9.99}</t>
        </is>
      </c>
      <c r="H197" s="2" t="inlineStr">
        <is>
          <t>num{zzzzzzzzzzzzzz9.99}</t>
        </is>
      </c>
      <c r="I197" s="2" t="inlineStr">
        <is>
          <t>Read-only</t>
        </is>
      </c>
      <c r="J197" s="2" t="inlineStr">
        <is>
          <t>Yes</t>
        </is>
      </c>
      <c r="K197" s="2" t="inlineStr"/>
      <c r="L197" s="2" t="inlineStr"/>
      <c r="M197" s="2" t="inlineStr"/>
    </row>
    <row r="198">
      <c r="A198" s="2" t="inlineStr">
        <is>
          <t>Page7.B62</t>
        </is>
      </c>
      <c r="B198" s="2" t="inlineStr">
        <is>
          <t>Page7</t>
        </is>
      </c>
      <c r="C198" s="2" t="inlineStr">
        <is>
          <t>numericEdit</t>
        </is>
      </c>
      <c r="D198" s="2" t="inlineStr">
        <is>
          <t>decimal</t>
        </is>
      </c>
      <c r="E198" s="2" t="inlineStr">
        <is>
          <t>14</t>
        </is>
      </c>
      <c r="F198" s="2" t="inlineStr"/>
      <c r="G198" s="2" t="inlineStr">
        <is>
          <t>num{zzzzzzzzzzzzzz9.99}</t>
        </is>
      </c>
      <c r="H198" s="2" t="inlineStr">
        <is>
          <t>num{zzzzzzzzzzzzzz9.99}</t>
        </is>
      </c>
      <c r="I198" s="2" t="inlineStr">
        <is>
          <t>Editable</t>
        </is>
      </c>
      <c r="J198" s="2" t="inlineStr"/>
      <c r="K198" s="2" t="inlineStr"/>
      <c r="L198" s="2" t="inlineStr"/>
      <c r="M198" s="2" t="inlineStr"/>
    </row>
    <row r="199">
      <c r="A199" s="2" t="inlineStr">
        <is>
          <t>Page7.B63</t>
        </is>
      </c>
      <c r="B199" s="2" t="inlineStr">
        <is>
          <t>Page7</t>
        </is>
      </c>
      <c r="C199" s="2" t="inlineStr">
        <is>
          <t>numericEdit</t>
        </is>
      </c>
      <c r="D199" s="2" t="inlineStr">
        <is>
          <t>decimal</t>
        </is>
      </c>
      <c r="E199" s="2" t="inlineStr">
        <is>
          <t>14</t>
        </is>
      </c>
      <c r="F199" s="2" t="inlineStr"/>
      <c r="G199" s="2" t="inlineStr">
        <is>
          <t>num{zzzzzzzzzzzzzz9.99}</t>
        </is>
      </c>
      <c r="H199" s="2" t="inlineStr">
        <is>
          <t>num{zzzzzzzzzzzzzz9.99}</t>
        </is>
      </c>
      <c r="I199" s="2" t="inlineStr">
        <is>
          <t>Editable</t>
        </is>
      </c>
      <c r="J199" s="2" t="inlineStr"/>
      <c r="K199" s="2" t="inlineStr"/>
      <c r="L199" s="2" t="inlineStr"/>
      <c r="M199" s="2" t="inlineStr"/>
    </row>
    <row r="200">
      <c r="A200" s="2" t="inlineStr">
        <is>
          <t>Page7.B64</t>
        </is>
      </c>
      <c r="B200" s="2" t="inlineStr">
        <is>
          <t>Page7</t>
        </is>
      </c>
      <c r="C200" s="2" t="inlineStr">
        <is>
          <t>numericEdit</t>
        </is>
      </c>
      <c r="D200" s="2" t="inlineStr">
        <is>
          <t>decimal</t>
        </is>
      </c>
      <c r="E200" s="2" t="inlineStr">
        <is>
          <t>14</t>
        </is>
      </c>
      <c r="F200" s="2" t="inlineStr"/>
      <c r="G200" s="2" t="inlineStr">
        <is>
          <t>num{zzzzzzzzzzzzzz9.99}</t>
        </is>
      </c>
      <c r="H200" s="2" t="inlineStr">
        <is>
          <t>num{zzzzzzzzzzzzzz9.99}</t>
        </is>
      </c>
      <c r="I200" s="2" t="inlineStr">
        <is>
          <t>Editable</t>
        </is>
      </c>
      <c r="J200" s="2" t="inlineStr"/>
      <c r="K200" s="2" t="inlineStr"/>
      <c r="L200" s="2" t="inlineStr"/>
      <c r="M200" s="2" t="inlineStr"/>
    </row>
    <row r="201">
      <c r="A201" s="2" t="inlineStr">
        <is>
          <t>Page7.B65</t>
        </is>
      </c>
      <c r="B201" s="2" t="inlineStr">
        <is>
          <t>Page7</t>
        </is>
      </c>
      <c r="C201" s="2" t="inlineStr">
        <is>
          <t>numericEdit</t>
        </is>
      </c>
      <c r="D201" s="2" t="inlineStr">
        <is>
          <t>decimal</t>
        </is>
      </c>
      <c r="E201" s="2" t="inlineStr">
        <is>
          <t>14</t>
        </is>
      </c>
      <c r="F201" s="2" t="inlineStr"/>
      <c r="G201" s="2" t="inlineStr">
        <is>
          <t>num{zzzzzzzzzzzzzz9.99}</t>
        </is>
      </c>
      <c r="H201" s="2" t="inlineStr">
        <is>
          <t>num{zzzzzzzzzzzzzz9.99}</t>
        </is>
      </c>
      <c r="I201" s="2" t="inlineStr">
        <is>
          <t>Editable</t>
        </is>
      </c>
      <c r="J201" s="2" t="inlineStr"/>
      <c r="K201" s="2" t="inlineStr"/>
      <c r="L201" s="2" t="inlineStr"/>
      <c r="M201" s="2" t="inlineStr"/>
    </row>
    <row r="202">
      <c r="A202" s="2" t="inlineStr">
        <is>
          <t>Page7.B66</t>
        </is>
      </c>
      <c r="B202" s="2" t="inlineStr">
        <is>
          <t>Page7</t>
        </is>
      </c>
      <c r="C202" s="2" t="inlineStr">
        <is>
          <t>numericEdit</t>
        </is>
      </c>
      <c r="D202" s="2" t="inlineStr">
        <is>
          <t>decimal</t>
        </is>
      </c>
      <c r="E202" s="2" t="inlineStr">
        <is>
          <t>14</t>
        </is>
      </c>
      <c r="F202" s="2" t="inlineStr"/>
      <c r="G202" s="2" t="inlineStr">
        <is>
          <t>num{zzzzzzzzzzzzzz9.99}</t>
        </is>
      </c>
      <c r="H202" s="2" t="inlineStr">
        <is>
          <t>num{zzzzzzzzzzzzzz9.99}</t>
        </is>
      </c>
      <c r="I202" s="2" t="inlineStr">
        <is>
          <t>Editable</t>
        </is>
      </c>
      <c r="J202" s="2" t="inlineStr"/>
      <c r="K202" s="2" t="inlineStr"/>
      <c r="L202" s="2" t="inlineStr"/>
      <c r="M202" s="2" t="inlineStr"/>
    </row>
    <row r="203">
      <c r="A203" s="2" t="inlineStr">
        <is>
          <t>Page7.B67</t>
        </is>
      </c>
      <c r="B203" s="2" t="inlineStr">
        <is>
          <t>Page7</t>
        </is>
      </c>
      <c r="C203" s="2" t="inlineStr">
        <is>
          <t>numericEdit</t>
        </is>
      </c>
      <c r="D203" s="2" t="inlineStr">
        <is>
          <t>decimal</t>
        </is>
      </c>
      <c r="E203" s="2" t="inlineStr">
        <is>
          <t>14</t>
        </is>
      </c>
      <c r="F203" s="2" t="inlineStr"/>
      <c r="G203" s="2" t="inlineStr">
        <is>
          <t>num{zzzzzzzzzzzzzz9.99}</t>
        </is>
      </c>
      <c r="H203" s="2" t="inlineStr">
        <is>
          <t>num{zzzzzzzzzzzzzz9.99}</t>
        </is>
      </c>
      <c r="I203" s="2" t="inlineStr">
        <is>
          <t>Editable</t>
        </is>
      </c>
      <c r="J203" s="2" t="inlineStr"/>
      <c r="K203" s="2" t="inlineStr"/>
      <c r="L203" s="2" t="inlineStr"/>
      <c r="M203" s="2" t="inlineStr"/>
    </row>
    <row r="204">
      <c r="A204" s="2" t="inlineStr">
        <is>
          <t>Page7.B68</t>
        </is>
      </c>
      <c r="B204" s="2" t="inlineStr">
        <is>
          <t>Page7</t>
        </is>
      </c>
      <c r="C204" s="2" t="inlineStr">
        <is>
          <t>numericEdit</t>
        </is>
      </c>
      <c r="D204" s="2" t="inlineStr">
        <is>
          <t>decimal</t>
        </is>
      </c>
      <c r="E204" s="2" t="inlineStr">
        <is>
          <t>14</t>
        </is>
      </c>
      <c r="F204" s="2" t="inlineStr"/>
      <c r="G204" s="2" t="inlineStr">
        <is>
          <t>num{zzzzzzzzzzzzzz9.99}</t>
        </is>
      </c>
      <c r="H204" s="2" t="inlineStr">
        <is>
          <t>num{zzzzzzzzzzzzzz9.99}</t>
        </is>
      </c>
      <c r="I204" s="2" t="inlineStr">
        <is>
          <t>Editable</t>
        </is>
      </c>
      <c r="J204" s="2" t="inlineStr"/>
      <c r="K204" s="2" t="inlineStr"/>
      <c r="L204" s="2" t="inlineStr"/>
      <c r="M204" s="2" t="inlineStr"/>
    </row>
    <row r="205">
      <c r="A205" s="2" t="inlineStr">
        <is>
          <t>Page7.B69</t>
        </is>
      </c>
      <c r="B205" s="2" t="inlineStr">
        <is>
          <t>Page7</t>
        </is>
      </c>
      <c r="C205" s="2" t="inlineStr">
        <is>
          <t>numericEdit</t>
        </is>
      </c>
      <c r="D205" s="2" t="inlineStr">
        <is>
          <t>decimal</t>
        </is>
      </c>
      <c r="E205" s="2" t="inlineStr">
        <is>
          <t>14</t>
        </is>
      </c>
      <c r="F205" s="2" t="inlineStr"/>
      <c r="G205" s="2" t="inlineStr">
        <is>
          <t>num{zzzzzzzzzzzzzz9.99}</t>
        </is>
      </c>
      <c r="H205" s="2" t="inlineStr">
        <is>
          <t>num{zzzzzzzzzzzzzz9.99}</t>
        </is>
      </c>
      <c r="I205" s="2" t="inlineStr">
        <is>
          <t>Editable</t>
        </is>
      </c>
      <c r="J205" s="2" t="inlineStr"/>
      <c r="K205" s="2" t="inlineStr"/>
      <c r="L205" s="2" t="inlineStr"/>
      <c r="M205" s="2" t="inlineStr"/>
    </row>
    <row r="206">
      <c r="A206" s="2" t="inlineStr">
        <is>
          <t>Page7.B70</t>
        </is>
      </c>
      <c r="B206" s="2" t="inlineStr">
        <is>
          <t>Page7</t>
        </is>
      </c>
      <c r="C206" s="2" t="inlineStr">
        <is>
          <t>numericEdit</t>
        </is>
      </c>
      <c r="D206" s="2" t="inlineStr">
        <is>
          <t>decimal</t>
        </is>
      </c>
      <c r="E206" s="2" t="inlineStr">
        <is>
          <t>14</t>
        </is>
      </c>
      <c r="F206" s="2" t="inlineStr"/>
      <c r="G206" s="2" t="inlineStr">
        <is>
          <t>num{zzzzzzzzzzzzzz9.99}</t>
        </is>
      </c>
      <c r="H206" s="2" t="inlineStr">
        <is>
          <t>num{zzzzzzzzzzzzzz9.99}</t>
        </is>
      </c>
      <c r="I206" s="2" t="inlineStr">
        <is>
          <t>Editable</t>
        </is>
      </c>
      <c r="J206" s="2" t="inlineStr"/>
      <c r="K206" s="2" t="inlineStr"/>
      <c r="L206" s="2" t="inlineStr"/>
      <c r="M206" s="2" t="inlineStr"/>
    </row>
    <row r="207">
      <c r="A207" s="2" t="inlineStr">
        <is>
          <t>Page7.B71</t>
        </is>
      </c>
      <c r="B207" s="2" t="inlineStr">
        <is>
          <t>Page7</t>
        </is>
      </c>
      <c r="C207" s="2" t="inlineStr">
        <is>
          <t>numericEdit</t>
        </is>
      </c>
      <c r="D207" s="2" t="inlineStr">
        <is>
          <t>decimal</t>
        </is>
      </c>
      <c r="E207" s="2" t="inlineStr">
        <is>
          <t>14</t>
        </is>
      </c>
      <c r="F207" s="2" t="inlineStr"/>
      <c r="G207" s="2" t="inlineStr">
        <is>
          <t>num{zzzzzzzzzzzzzz9.99}</t>
        </is>
      </c>
      <c r="H207" s="2" t="inlineStr">
        <is>
          <t>num{zzzzzzzzzzzzzz9.99}</t>
        </is>
      </c>
      <c r="I207" s="2" t="inlineStr">
        <is>
          <t>Editable</t>
        </is>
      </c>
      <c r="J207" s="2" t="inlineStr"/>
      <c r="K207" s="2" t="inlineStr"/>
      <c r="L207" s="2" t="inlineStr"/>
      <c r="M207" s="2" t="inlineStr"/>
    </row>
    <row r="208">
      <c r="A208" s="2" t="inlineStr">
        <is>
          <t>Page7.B72</t>
        </is>
      </c>
      <c r="B208" s="2" t="inlineStr">
        <is>
          <t>Page7</t>
        </is>
      </c>
      <c r="C208" s="2" t="inlineStr">
        <is>
          <t>numericEdit</t>
        </is>
      </c>
      <c r="D208" s="2" t="inlineStr">
        <is>
          <t>decimal</t>
        </is>
      </c>
      <c r="E208" s="2" t="inlineStr">
        <is>
          <t>14</t>
        </is>
      </c>
      <c r="F208" s="2" t="inlineStr"/>
      <c r="G208" s="2" t="inlineStr">
        <is>
          <t>num{zzzzzzzzzzzzzz9.99}</t>
        </is>
      </c>
      <c r="H208" s="2" t="inlineStr">
        <is>
          <t>num{zzzzzzzzzzzzzz9.99}</t>
        </is>
      </c>
      <c r="I208" s="2" t="inlineStr">
        <is>
          <t>Editable</t>
        </is>
      </c>
      <c r="J208" s="2" t="inlineStr"/>
      <c r="K208" s="2" t="inlineStr"/>
      <c r="L208" s="2" t="inlineStr"/>
      <c r="M208" s="2" t="inlineStr"/>
    </row>
    <row r="209">
      <c r="A209" s="2" t="inlineStr">
        <is>
          <t>Page7.B73</t>
        </is>
      </c>
      <c r="B209" s="2" t="inlineStr">
        <is>
          <t>Page7</t>
        </is>
      </c>
      <c r="C209" s="2" t="inlineStr">
        <is>
          <t>numericEdit</t>
        </is>
      </c>
      <c r="D209" s="2" t="inlineStr">
        <is>
          <t>decimal</t>
        </is>
      </c>
      <c r="E209" s="2" t="inlineStr">
        <is>
          <t>14</t>
        </is>
      </c>
      <c r="F209" s="2" t="inlineStr"/>
      <c r="G209" s="2" t="inlineStr">
        <is>
          <t>num{zzzzzzzzzzzzzz9.99}</t>
        </is>
      </c>
      <c r="H209" s="2" t="inlineStr">
        <is>
          <t>num{zzzzzzzzzzzzzz9.99}</t>
        </is>
      </c>
      <c r="I209" s="2" t="inlineStr">
        <is>
          <t>Editable</t>
        </is>
      </c>
      <c r="J209" s="2" t="inlineStr"/>
      <c r="K209" s="2" t="inlineStr"/>
      <c r="L209" s="2" t="inlineStr"/>
      <c r="M209" s="2" t="inlineStr"/>
    </row>
    <row r="210">
      <c r="A210" s="2" t="inlineStr">
        <is>
          <t>Page7.B74</t>
        </is>
      </c>
      <c r="B210" s="2" t="inlineStr">
        <is>
          <t>Page7</t>
        </is>
      </c>
      <c r="C210" s="2" t="inlineStr">
        <is>
          <t>numericEdit</t>
        </is>
      </c>
      <c r="D210" s="2" t="inlineStr">
        <is>
          <t>decimal</t>
        </is>
      </c>
      <c r="E210" s="2" t="inlineStr">
        <is>
          <t>14</t>
        </is>
      </c>
      <c r="F210" s="2" t="inlineStr"/>
      <c r="G210" s="2" t="inlineStr">
        <is>
          <t>num{zzzzzzzzzzzzzz9.99}</t>
        </is>
      </c>
      <c r="H210" s="2" t="inlineStr">
        <is>
          <t>num{zzzzzzzzzzzzzz9.99}</t>
        </is>
      </c>
      <c r="I210" s="2" t="inlineStr">
        <is>
          <t>Editable</t>
        </is>
      </c>
      <c r="J210" s="2" t="inlineStr"/>
      <c r="K210" s="2" t="inlineStr"/>
      <c r="L210" s="2" t="inlineStr"/>
      <c r="M210" s="2" t="inlineStr"/>
    </row>
    <row r="211">
      <c r="A211" s="2" t="inlineStr">
        <is>
          <t>Page7.B75</t>
        </is>
      </c>
      <c r="B211" s="2" t="inlineStr">
        <is>
          <t>Page7</t>
        </is>
      </c>
      <c r="C211" s="2" t="inlineStr">
        <is>
          <t>numericEdit</t>
        </is>
      </c>
      <c r="D211" s="2" t="inlineStr">
        <is>
          <t>decimal</t>
        </is>
      </c>
      <c r="E211" s="2" t="inlineStr">
        <is>
          <t>14</t>
        </is>
      </c>
      <c r="F211" s="2" t="inlineStr"/>
      <c r="G211" s="2" t="inlineStr">
        <is>
          <t>num{zzzzzzzzzzzzzz9.99}</t>
        </is>
      </c>
      <c r="H211" s="2" t="inlineStr">
        <is>
          <t>num{zzzzzzzzzzzzzz9.99}</t>
        </is>
      </c>
      <c r="I211" s="2" t="inlineStr">
        <is>
          <t>Editable</t>
        </is>
      </c>
      <c r="J211" s="2" t="inlineStr"/>
      <c r="K211" s="2" t="inlineStr"/>
      <c r="L211" s="2" t="inlineStr"/>
      <c r="M211" s="2" t="inlineStr"/>
    </row>
    <row r="212">
      <c r="A212" s="2" t="inlineStr">
        <is>
          <t>Page7.B76</t>
        </is>
      </c>
      <c r="B212" s="2" t="inlineStr">
        <is>
          <t>Page7</t>
        </is>
      </c>
      <c r="C212" s="2" t="inlineStr">
        <is>
          <t>numericEdit</t>
        </is>
      </c>
      <c r="D212" s="2" t="inlineStr">
        <is>
          <t>decimal</t>
        </is>
      </c>
      <c r="E212" s="2" t="inlineStr">
        <is>
          <t>14</t>
        </is>
      </c>
      <c r="F212" s="2" t="inlineStr"/>
      <c r="G212" s="2" t="inlineStr">
        <is>
          <t>num{zzzzzzzzzzzzzz9.99}</t>
        </is>
      </c>
      <c r="H212" s="2" t="inlineStr">
        <is>
          <t>num{zzzzzzzzzzzzzz9.99}</t>
        </is>
      </c>
      <c r="I212" s="2" t="inlineStr">
        <is>
          <t>Editable</t>
        </is>
      </c>
      <c r="J212" s="2" t="inlineStr"/>
      <c r="K212" s="2" t="inlineStr"/>
      <c r="L212" s="2" t="inlineStr"/>
      <c r="M212" s="2" t="inlineStr"/>
    </row>
    <row r="213">
      <c r="A213" s="2" t="inlineStr">
        <is>
          <t>Page7.B77</t>
        </is>
      </c>
      <c r="B213" s="2" t="inlineStr">
        <is>
          <t>Page7</t>
        </is>
      </c>
      <c r="C213" s="2" t="inlineStr">
        <is>
          <t>numericEdit</t>
        </is>
      </c>
      <c r="D213" s="2" t="inlineStr">
        <is>
          <t>decimal</t>
        </is>
      </c>
      <c r="E213" s="2" t="inlineStr">
        <is>
          <t>14</t>
        </is>
      </c>
      <c r="F213" s="2" t="inlineStr"/>
      <c r="G213" s="2" t="inlineStr">
        <is>
          <t>num{zzzzzzzzzzzzzz9.99}</t>
        </is>
      </c>
      <c r="H213" s="2" t="inlineStr">
        <is>
          <t>num{zzzzzzzzzzzzzz9.99}</t>
        </is>
      </c>
      <c r="I213" s="2" t="inlineStr">
        <is>
          <t>Editable</t>
        </is>
      </c>
      <c r="J213" s="2" t="inlineStr"/>
      <c r="K213" s="2" t="inlineStr"/>
      <c r="L213" s="2" t="inlineStr"/>
      <c r="M213" s="2" t="inlineStr"/>
    </row>
    <row r="214">
      <c r="A214" s="2" t="inlineStr">
        <is>
          <t>Page7.B78</t>
        </is>
      </c>
      <c r="B214" s="2" t="inlineStr">
        <is>
          <t>Page7</t>
        </is>
      </c>
      <c r="C214" s="2" t="inlineStr">
        <is>
          <t>numericEdit</t>
        </is>
      </c>
      <c r="D214" s="2" t="inlineStr">
        <is>
          <t>decimal</t>
        </is>
      </c>
      <c r="E214" s="2" t="inlineStr">
        <is>
          <t>14</t>
        </is>
      </c>
      <c r="F214" s="2" t="inlineStr"/>
      <c r="G214" s="2" t="inlineStr">
        <is>
          <t>num{zzzzzzzzzzzzzz9.99}</t>
        </is>
      </c>
      <c r="H214" s="2" t="inlineStr">
        <is>
          <t>num{zzzzzzzzzzzzzz9.99}</t>
        </is>
      </c>
      <c r="I214" s="2" t="inlineStr">
        <is>
          <t>Editable</t>
        </is>
      </c>
      <c r="J214" s="2" t="inlineStr"/>
      <c r="K214" s="2" t="inlineStr"/>
      <c r="L214" s="2" t="inlineStr"/>
      <c r="M214" s="2" t="inlineStr"/>
    </row>
    <row r="215">
      <c r="A215" s="2" t="inlineStr">
        <is>
          <t>Page7.B79</t>
        </is>
      </c>
      <c r="B215" s="2" t="inlineStr">
        <is>
          <t>Page7</t>
        </is>
      </c>
      <c r="C215" s="2" t="inlineStr">
        <is>
          <t>numericEdit</t>
        </is>
      </c>
      <c r="D215" s="2" t="inlineStr">
        <is>
          <t>decimal</t>
        </is>
      </c>
      <c r="E215" s="2" t="inlineStr">
        <is>
          <t>14</t>
        </is>
      </c>
      <c r="F215" s="2" t="inlineStr"/>
      <c r="G215" s="2" t="inlineStr">
        <is>
          <t>num{zzzzzzzzzzzzzz9.99}</t>
        </is>
      </c>
      <c r="H215" s="2" t="inlineStr">
        <is>
          <t>num{zzzzzzzzzzzzzz9.99}</t>
        </is>
      </c>
      <c r="I215" s="2" t="inlineStr">
        <is>
          <t>Editable</t>
        </is>
      </c>
      <c r="J215" s="2" t="inlineStr"/>
      <c r="K215" s="2" t="inlineStr"/>
      <c r="L215" s="2" t="inlineStr"/>
      <c r="M215" s="2" t="inlineStr"/>
    </row>
    <row r="216">
      <c r="A216" s="2" t="inlineStr">
        <is>
          <t>Page7.B80</t>
        </is>
      </c>
      <c r="B216" s="2" t="inlineStr">
        <is>
          <t>Page7</t>
        </is>
      </c>
      <c r="C216" s="2" t="inlineStr">
        <is>
          <t>numericEdit</t>
        </is>
      </c>
      <c r="D216" s="2" t="inlineStr">
        <is>
          <t>decimal</t>
        </is>
      </c>
      <c r="E216" s="2" t="inlineStr">
        <is>
          <t>14</t>
        </is>
      </c>
      <c r="F216" s="2" t="inlineStr"/>
      <c r="G216" s="2" t="inlineStr">
        <is>
          <t>num{zzzzzzzzzzzzzz9.99}</t>
        </is>
      </c>
      <c r="H216" s="2" t="inlineStr">
        <is>
          <t>num{zzzzzzzzzzzzzz9.99}</t>
        </is>
      </c>
      <c r="I216" s="2" t="inlineStr">
        <is>
          <t>Editable</t>
        </is>
      </c>
      <c r="J216" s="2" t="inlineStr"/>
      <c r="K216" s="2" t="inlineStr"/>
      <c r="L216" s="2" t="inlineStr"/>
      <c r="M216" s="2" t="inlineStr"/>
    </row>
    <row r="217">
      <c r="A217" s="2" t="inlineStr">
        <is>
          <t>Page7.B81</t>
        </is>
      </c>
      <c r="B217" s="2" t="inlineStr">
        <is>
          <t>Page7</t>
        </is>
      </c>
      <c r="C217" s="2" t="inlineStr">
        <is>
          <t>numericEdit</t>
        </is>
      </c>
      <c r="D217" s="2" t="inlineStr">
        <is>
          <t>decimal</t>
        </is>
      </c>
      <c r="E217" s="2" t="inlineStr">
        <is>
          <t>14</t>
        </is>
      </c>
      <c r="F217" s="2" t="inlineStr"/>
      <c r="G217" s="2" t="inlineStr">
        <is>
          <t>num{zzzzzzzzzzzzzz9.99}</t>
        </is>
      </c>
      <c r="H217" s="2" t="inlineStr">
        <is>
          <t>num{zzzzzzzzzzzzzz9.99}</t>
        </is>
      </c>
      <c r="I217" s="2" t="inlineStr">
        <is>
          <t>Editable</t>
        </is>
      </c>
      <c r="J217" s="2" t="inlineStr"/>
      <c r="K217" s="2" t="inlineStr"/>
      <c r="L217" s="2" t="inlineStr"/>
      <c r="M217" s="2" t="inlineStr"/>
    </row>
    <row r="218">
      <c r="A218" s="2" t="inlineStr">
        <is>
          <t>Page7.B82</t>
        </is>
      </c>
      <c r="B218" s="2" t="inlineStr">
        <is>
          <t>Page7</t>
        </is>
      </c>
      <c r="C218" s="2" t="inlineStr">
        <is>
          <t>numericEdit</t>
        </is>
      </c>
      <c r="D218" s="2" t="inlineStr">
        <is>
          <t>decimal</t>
        </is>
      </c>
      <c r="E218" s="2" t="inlineStr">
        <is>
          <t>14</t>
        </is>
      </c>
      <c r="F218" s="2" t="inlineStr"/>
      <c r="G218" s="2" t="inlineStr">
        <is>
          <t>num{zzzzzzzzzzzzzz9.99}</t>
        </is>
      </c>
      <c r="H218" s="2" t="inlineStr">
        <is>
          <t>num{zzzzzzzzzzzzzz9.99}</t>
        </is>
      </c>
      <c r="I218" s="2" t="inlineStr">
        <is>
          <t>Editable</t>
        </is>
      </c>
      <c r="J218" s="2" t="inlineStr"/>
      <c r="K218" s="2" t="inlineStr"/>
      <c r="L218" s="2" t="inlineStr"/>
      <c r="M218" s="2" t="inlineStr"/>
    </row>
    <row r="219">
      <c r="A219" s="2" t="inlineStr">
        <is>
          <t>Page7.B83</t>
        </is>
      </c>
      <c r="B219" s="2" t="inlineStr">
        <is>
          <t>Page7</t>
        </is>
      </c>
      <c r="C219" s="2" t="inlineStr">
        <is>
          <t>numericEdit</t>
        </is>
      </c>
      <c r="D219" s="2" t="inlineStr">
        <is>
          <t>decimal</t>
        </is>
      </c>
      <c r="E219" s="2" t="inlineStr">
        <is>
          <t>14</t>
        </is>
      </c>
      <c r="F219" s="2" t="inlineStr"/>
      <c r="G219" s="2" t="inlineStr">
        <is>
          <t>num{zzzzzzzzzzzzzz9.99}</t>
        </is>
      </c>
      <c r="H219" s="2" t="inlineStr">
        <is>
          <t>num{zzzzzzzzzzzzzz9.99}</t>
        </is>
      </c>
      <c r="I219" s="2" t="inlineStr">
        <is>
          <t>Editable</t>
        </is>
      </c>
      <c r="J219" s="2" t="inlineStr"/>
      <c r="K219" s="2" t="inlineStr"/>
      <c r="L219" s="2" t="inlineStr"/>
      <c r="M219" s="2" t="inlineStr"/>
    </row>
    <row r="220">
      <c r="A220" s="2" t="inlineStr">
        <is>
          <t>Page7.B84</t>
        </is>
      </c>
      <c r="B220" s="2" t="inlineStr">
        <is>
          <t>Page7</t>
        </is>
      </c>
      <c r="C220" s="2" t="inlineStr">
        <is>
          <t>numericEdit</t>
        </is>
      </c>
      <c r="D220" s="2" t="inlineStr">
        <is>
          <t>decimal</t>
        </is>
      </c>
      <c r="E220" s="2" t="inlineStr">
        <is>
          <t>14</t>
        </is>
      </c>
      <c r="F220" s="2" t="inlineStr"/>
      <c r="G220" s="2" t="inlineStr">
        <is>
          <t>num{zzzzzzzzzzzzzz9.99}</t>
        </is>
      </c>
      <c r="H220" s="2" t="inlineStr">
        <is>
          <t>num{zzzzzzzzzzzzzz9.99}</t>
        </is>
      </c>
      <c r="I220" s="2" t="inlineStr">
        <is>
          <t>Editable</t>
        </is>
      </c>
      <c r="J220" s="2" t="inlineStr"/>
      <c r="K220" s="2" t="inlineStr"/>
      <c r="L220" s="2" t="inlineStr"/>
      <c r="M220" s="2" t="inlineStr"/>
    </row>
    <row r="221">
      <c r="A221" s="2" t="inlineStr">
        <is>
          <t>Page7.B85</t>
        </is>
      </c>
      <c r="B221" s="2" t="inlineStr">
        <is>
          <t>Page7</t>
        </is>
      </c>
      <c r="C221" s="2" t="inlineStr">
        <is>
          <t>numericEdit</t>
        </is>
      </c>
      <c r="D221" s="2" t="inlineStr">
        <is>
          <t>decimal</t>
        </is>
      </c>
      <c r="E221" s="2" t="inlineStr">
        <is>
          <t>14</t>
        </is>
      </c>
      <c r="F221" s="2" t="inlineStr"/>
      <c r="G221" s="2" t="inlineStr">
        <is>
          <t>num{zzzzzzzzzzzzzz9.99}</t>
        </is>
      </c>
      <c r="H221" s="2" t="inlineStr">
        <is>
          <t>num{zzzzzzzzzzzzzz9.99}</t>
        </is>
      </c>
      <c r="I221" s="2" t="inlineStr">
        <is>
          <t>Editable</t>
        </is>
      </c>
      <c r="J221" s="2" t="inlineStr"/>
      <c r="K221" s="2" t="inlineStr"/>
      <c r="L221" s="2" t="inlineStr"/>
      <c r="M221" s="2" t="inlineStr"/>
    </row>
    <row r="222">
      <c r="A222" s="2" t="inlineStr">
        <is>
          <t>Page7.B86</t>
        </is>
      </c>
      <c r="B222" s="2" t="inlineStr">
        <is>
          <t>Page7</t>
        </is>
      </c>
      <c r="C222" s="2" t="inlineStr">
        <is>
          <t>numericEdit</t>
        </is>
      </c>
      <c r="D222" s="2" t="inlineStr">
        <is>
          <t>decimal</t>
        </is>
      </c>
      <c r="E222" s="2" t="inlineStr">
        <is>
          <t>14</t>
        </is>
      </c>
      <c r="F222" s="2" t="inlineStr"/>
      <c r="G222" s="2" t="inlineStr">
        <is>
          <t>num{zzzzzzzzzzzzzz9.99}</t>
        </is>
      </c>
      <c r="H222" s="2" t="inlineStr">
        <is>
          <t>num{zzzzzzzzzzzzzz9.99}</t>
        </is>
      </c>
      <c r="I222" s="2" t="inlineStr">
        <is>
          <t>Read-only</t>
        </is>
      </c>
      <c r="J222" s="2" t="inlineStr">
        <is>
          <t>Yes</t>
        </is>
      </c>
      <c r="K222" s="2" t="inlineStr"/>
      <c r="L222" s="2" t="inlineStr"/>
      <c r="M222" s="2" t="inlineStr"/>
    </row>
    <row r="223">
      <c r="A223" s="2" t="inlineStr">
        <is>
          <t>Page7.B90</t>
        </is>
      </c>
      <c r="B223" s="2" t="inlineStr">
        <is>
          <t>Page7</t>
        </is>
      </c>
      <c r="C223" s="2" t="inlineStr">
        <is>
          <t>numericEdit</t>
        </is>
      </c>
      <c r="D223" s="2" t="inlineStr">
        <is>
          <t>decimal</t>
        </is>
      </c>
      <c r="E223" s="2" t="inlineStr">
        <is>
          <t>14</t>
        </is>
      </c>
      <c r="F223" s="2" t="inlineStr"/>
      <c r="G223" s="2" t="inlineStr">
        <is>
          <t>num{zzzzzzzzzzzzzz9.99}</t>
        </is>
      </c>
      <c r="H223" s="2" t="inlineStr">
        <is>
          <t>num{zzzzzzzzzzzzzz9.99}</t>
        </is>
      </c>
      <c r="I223" s="2" t="inlineStr">
        <is>
          <t>Editable</t>
        </is>
      </c>
      <c r="J223" s="2" t="inlineStr"/>
      <c r="K223" s="2" t="inlineStr"/>
      <c r="L223" s="2" t="inlineStr"/>
      <c r="M223" s="2" t="inlineStr"/>
    </row>
    <row r="224">
      <c r="A224" s="2" t="inlineStr">
        <is>
          <t>Page7.B91</t>
        </is>
      </c>
      <c r="B224" s="2" t="inlineStr">
        <is>
          <t>Page7</t>
        </is>
      </c>
      <c r="C224" s="2" t="inlineStr">
        <is>
          <t>numericEdit</t>
        </is>
      </c>
      <c r="D224" s="2" t="inlineStr">
        <is>
          <t>decimal</t>
        </is>
      </c>
      <c r="E224" s="2" t="inlineStr">
        <is>
          <t>14</t>
        </is>
      </c>
      <c r="F224" s="2" t="inlineStr"/>
      <c r="G224" s="2" t="inlineStr">
        <is>
          <t>num{zzzzzzzzzzzzzz9.99}</t>
        </is>
      </c>
      <c r="H224" s="2" t="inlineStr">
        <is>
          <t>num{zzzzzzzzzzzzzz9.99}</t>
        </is>
      </c>
      <c r="I224" s="2" t="inlineStr">
        <is>
          <t>Read-only</t>
        </is>
      </c>
      <c r="J224" s="2" t="inlineStr">
        <is>
          <t>Yes</t>
        </is>
      </c>
      <c r="K224" s="2" t="inlineStr"/>
      <c r="L224" s="2" t="inlineStr"/>
      <c r="M224" s="2" t="inlineStr"/>
    </row>
    <row r="225">
      <c r="A225" s="2" t="inlineStr">
        <is>
          <t>Page7.B87</t>
        </is>
      </c>
      <c r="B225" s="2" t="inlineStr">
        <is>
          <t>Page7</t>
        </is>
      </c>
      <c r="C225" s="2" t="inlineStr">
        <is>
          <t>numericEdit</t>
        </is>
      </c>
      <c r="D225" s="2" t="inlineStr">
        <is>
          <t>decimal</t>
        </is>
      </c>
      <c r="E225" s="2" t="inlineStr">
        <is>
          <t>14</t>
        </is>
      </c>
      <c r="F225" s="2" t="inlineStr"/>
      <c r="G225" s="2" t="inlineStr">
        <is>
          <t>num{zzzzzzzzzzzzzz9.99}</t>
        </is>
      </c>
      <c r="H225" s="2" t="inlineStr">
        <is>
          <t>num{zzzzzzzzzzzzzz9.99}</t>
        </is>
      </c>
      <c r="I225" s="2" t="inlineStr">
        <is>
          <t>Editable</t>
        </is>
      </c>
      <c r="J225" s="2" t="inlineStr"/>
      <c r="K225" s="2" t="inlineStr"/>
      <c r="L225" s="2" t="inlineStr"/>
      <c r="M225" s="2" t="inlineStr"/>
    </row>
    <row r="226">
      <c r="A226" s="2" t="inlineStr">
        <is>
          <t>Page7.B89</t>
        </is>
      </c>
      <c r="B226" s="2" t="inlineStr">
        <is>
          <t>Page7</t>
        </is>
      </c>
      <c r="C226" s="2" t="inlineStr">
        <is>
          <t>numericEdit</t>
        </is>
      </c>
      <c r="D226" s="2" t="inlineStr">
        <is>
          <t>decimal</t>
        </is>
      </c>
      <c r="E226" s="2" t="inlineStr">
        <is>
          <t>14</t>
        </is>
      </c>
      <c r="F226" s="2" t="inlineStr"/>
      <c r="G226" s="2" t="inlineStr">
        <is>
          <t>num{zzzzzzzzzzzzzz9.99}</t>
        </is>
      </c>
      <c r="H226" s="2" t="inlineStr">
        <is>
          <t>num{zzzzzzzzzzzzzz9.99}</t>
        </is>
      </c>
      <c r="I226" s="2" t="inlineStr">
        <is>
          <t>Editable</t>
        </is>
      </c>
      <c r="J226" s="2" t="inlineStr"/>
      <c r="K226" s="2" t="inlineStr"/>
      <c r="L226" s="2" t="inlineStr"/>
      <c r="M226" s="2" t="inlineStr"/>
    </row>
    <row r="227">
      <c r="A227" s="2" t="inlineStr">
        <is>
          <t>Page7.B88</t>
        </is>
      </c>
      <c r="B227" s="2" t="inlineStr">
        <is>
          <t>Page7</t>
        </is>
      </c>
      <c r="C227" s="2" t="inlineStr">
        <is>
          <t>numericEdit</t>
        </is>
      </c>
      <c r="D227" s="2" t="inlineStr">
        <is>
          <t>decimal</t>
        </is>
      </c>
      <c r="E227" s="2" t="inlineStr">
        <is>
          <t>14</t>
        </is>
      </c>
      <c r="F227" s="2" t="inlineStr"/>
      <c r="G227" s="2" t="inlineStr">
        <is>
          <t>num{zzzzzzzzzzzzzz9.99}</t>
        </is>
      </c>
      <c r="H227" s="2" t="inlineStr">
        <is>
          <t>num{zzzzzzzzzzzzzz9.99}</t>
        </is>
      </c>
      <c r="I227" s="2" t="inlineStr">
        <is>
          <t>Editable</t>
        </is>
      </c>
      <c r="J227" s="2" t="inlineStr"/>
      <c r="K227" s="2" t="inlineStr"/>
      <c r="L227" s="2" t="inlineStr"/>
      <c r="M227" s="2" t="inlineStr"/>
    </row>
    <row r="228">
      <c r="A228" s="2" t="inlineStr">
        <is>
          <t>Page8.B92</t>
        </is>
      </c>
      <c r="B228" s="2" t="inlineStr">
        <is>
          <t>Page8</t>
        </is>
      </c>
      <c r="C228" s="2" t="inlineStr">
        <is>
          <t>numericEdit</t>
        </is>
      </c>
      <c r="D228" s="2" t="inlineStr">
        <is>
          <t>decimal</t>
        </is>
      </c>
      <c r="E228" s="2" t="inlineStr">
        <is>
          <t>14</t>
        </is>
      </c>
      <c r="F228" s="2" t="inlineStr"/>
      <c r="G228" s="2" t="inlineStr">
        <is>
          <t>num{zzzzzzzzzzzzzz9.99}</t>
        </is>
      </c>
      <c r="H228" s="2" t="inlineStr">
        <is>
          <t>num{zzzzzzzzzzzzzz9.99}</t>
        </is>
      </c>
      <c r="I228" s="2" t="inlineStr">
        <is>
          <t>Read-only</t>
        </is>
      </c>
      <c r="J228" s="2" t="inlineStr">
        <is>
          <t>Yes</t>
        </is>
      </c>
      <c r="K228" s="2" t="inlineStr"/>
      <c r="L228" s="2" t="inlineStr"/>
      <c r="M228" s="2" t="inlineStr"/>
    </row>
    <row r="229">
      <c r="A229" s="2" t="inlineStr">
        <is>
          <t>Page8.B93</t>
        </is>
      </c>
      <c r="B229" s="2" t="inlineStr">
        <is>
          <t>Page8</t>
        </is>
      </c>
      <c r="C229" s="2" t="inlineStr">
        <is>
          <t>numericEdit</t>
        </is>
      </c>
      <c r="D229" s="2" t="inlineStr">
        <is>
          <t>decimal</t>
        </is>
      </c>
      <c r="E229" s="2" t="inlineStr">
        <is>
          <t>14</t>
        </is>
      </c>
      <c r="F229" s="2" t="inlineStr"/>
      <c r="G229" s="2" t="inlineStr">
        <is>
          <t>num{zzzzzzzzzzzzzz9.99}</t>
        </is>
      </c>
      <c r="H229" s="2" t="inlineStr">
        <is>
          <t>num{zzzzzzzzzzzzzz9.99}</t>
        </is>
      </c>
      <c r="I229" s="2" t="inlineStr">
        <is>
          <t>Read-only</t>
        </is>
      </c>
      <c r="J229" s="2" t="inlineStr">
        <is>
          <t>Yes</t>
        </is>
      </c>
      <c r="K229" s="2" t="inlineStr"/>
      <c r="L229" s="2" t="inlineStr"/>
      <c r="M229" s="2" t="inlineStr"/>
    </row>
    <row r="230">
      <c r="A230" s="2" t="inlineStr">
        <is>
          <t>Page8.B94</t>
        </is>
      </c>
      <c r="B230" s="2" t="inlineStr">
        <is>
          <t>Page8</t>
        </is>
      </c>
      <c r="C230" s="2" t="inlineStr">
        <is>
          <t>numericEdit</t>
        </is>
      </c>
      <c r="D230" s="2" t="inlineStr">
        <is>
          <t>decimal</t>
        </is>
      </c>
      <c r="E230" s="2" t="inlineStr">
        <is>
          <t>14</t>
        </is>
      </c>
      <c r="F230" s="2" t="inlineStr"/>
      <c r="G230" s="2" t="inlineStr">
        <is>
          <t>num{zzzzzzzzzzzzzz9.99}</t>
        </is>
      </c>
      <c r="H230" s="2" t="inlineStr">
        <is>
          <t>num{zzzzzzzzzzzzzz9.99}</t>
        </is>
      </c>
      <c r="I230" s="2" t="inlineStr">
        <is>
          <t>Read-only</t>
        </is>
      </c>
      <c r="J230" s="2" t="inlineStr">
        <is>
          <t>Yes</t>
        </is>
      </c>
      <c r="K230" s="2" t="inlineStr"/>
      <c r="L230" s="2" t="inlineStr"/>
      <c r="M230" s="2" t="inlineStr"/>
    </row>
    <row r="231">
      <c r="A231" s="2" t="inlineStr">
        <is>
          <t>Page8.B95</t>
        </is>
      </c>
      <c r="B231" s="2" t="inlineStr">
        <is>
          <t>Page8</t>
        </is>
      </c>
      <c r="C231" s="2" t="inlineStr">
        <is>
          <t>numericEdit</t>
        </is>
      </c>
      <c r="D231" s="2" t="inlineStr">
        <is>
          <t>decimal</t>
        </is>
      </c>
      <c r="E231" s="2" t="inlineStr">
        <is>
          <t>14</t>
        </is>
      </c>
      <c r="F231" s="2" t="inlineStr"/>
      <c r="G231" s="2" t="inlineStr">
        <is>
          <t>num{zzzzzzzzzzzzzz9.99}</t>
        </is>
      </c>
      <c r="H231" s="2" t="inlineStr">
        <is>
          <t>num{zzzzzzzzzzzzzz9.99}</t>
        </is>
      </c>
      <c r="I231" s="2" t="inlineStr">
        <is>
          <t>Editable</t>
        </is>
      </c>
      <c r="J231" s="2" t="inlineStr"/>
      <c r="K231" s="2" t="inlineStr"/>
      <c r="L231" s="2" t="inlineStr"/>
      <c r="M231" s="2" t="inlineStr"/>
    </row>
    <row r="232">
      <c r="A232" s="2" t="inlineStr">
        <is>
          <t>Page8.B96</t>
        </is>
      </c>
      <c r="B232" s="2" t="inlineStr">
        <is>
          <t>Page8</t>
        </is>
      </c>
      <c r="C232" s="2" t="inlineStr">
        <is>
          <t>numericEdit</t>
        </is>
      </c>
      <c r="D232" s="2" t="inlineStr">
        <is>
          <t>decimal</t>
        </is>
      </c>
      <c r="E232" s="2" t="inlineStr">
        <is>
          <t>14</t>
        </is>
      </c>
      <c r="F232" s="2" t="inlineStr"/>
      <c r="G232" s="2" t="inlineStr">
        <is>
          <t>num{zzzzzzzzzzzzzz9.99}</t>
        </is>
      </c>
      <c r="H232" s="2" t="inlineStr">
        <is>
          <t>num{zzzzzzzzzzzzzz9.99}</t>
        </is>
      </c>
      <c r="I232" s="2" t="inlineStr">
        <is>
          <t>Editable</t>
        </is>
      </c>
      <c r="J232" s="2" t="inlineStr"/>
      <c r="K232" s="2" t="inlineStr"/>
      <c r="L232" s="2" t="inlineStr"/>
      <c r="M232" s="2" t="inlineStr"/>
    </row>
    <row r="233">
      <c r="A233" s="2" t="inlineStr">
        <is>
          <t>Page8.B97</t>
        </is>
      </c>
      <c r="B233" s="2" t="inlineStr">
        <is>
          <t>Page8</t>
        </is>
      </c>
      <c r="C233" s="2" t="inlineStr">
        <is>
          <t>numericEdit</t>
        </is>
      </c>
      <c r="D233" s="2" t="inlineStr">
        <is>
          <t>decimal</t>
        </is>
      </c>
      <c r="E233" s="2" t="inlineStr">
        <is>
          <t>14</t>
        </is>
      </c>
      <c r="F233" s="2" t="inlineStr"/>
      <c r="G233" s="2" t="inlineStr">
        <is>
          <t>num{zzzzzzzzzzzzzz9.99}</t>
        </is>
      </c>
      <c r="H233" s="2" t="inlineStr">
        <is>
          <t>num{zzzzzzzzzzzzzz9.99}</t>
        </is>
      </c>
      <c r="I233" s="2" t="inlineStr">
        <is>
          <t>Editable</t>
        </is>
      </c>
      <c r="J233" s="2" t="inlineStr"/>
      <c r="K233" s="2" t="inlineStr"/>
      <c r="L233" s="2" t="inlineStr"/>
      <c r="M233" s="2" t="inlineStr"/>
    </row>
    <row r="234">
      <c r="A234" s="2" t="inlineStr">
        <is>
          <t>Page8.B98</t>
        </is>
      </c>
      <c r="B234" s="2" t="inlineStr">
        <is>
          <t>Page8</t>
        </is>
      </c>
      <c r="C234" s="2" t="inlineStr">
        <is>
          <t>numericEdit</t>
        </is>
      </c>
      <c r="D234" s="2" t="inlineStr">
        <is>
          <t>decimal</t>
        </is>
      </c>
      <c r="E234" s="2" t="inlineStr">
        <is>
          <t>14</t>
        </is>
      </c>
      <c r="F234" s="2" t="inlineStr"/>
      <c r="G234" s="2" t="inlineStr">
        <is>
          <t>num{zzzzzzzzzzzzzz9.99}</t>
        </is>
      </c>
      <c r="H234" s="2" t="inlineStr">
        <is>
          <t>num{zzzzzzzzzzzzzz9.99}</t>
        </is>
      </c>
      <c r="I234" s="2" t="inlineStr">
        <is>
          <t>Editable</t>
        </is>
      </c>
      <c r="J234" s="2" t="inlineStr"/>
      <c r="K234" s="2" t="inlineStr"/>
      <c r="L234" s="2" t="inlineStr"/>
      <c r="M234" s="2" t="inlineStr"/>
    </row>
    <row r="235">
      <c r="A235" s="2" t="inlineStr">
        <is>
          <t>Page8.B99</t>
        </is>
      </c>
      <c r="B235" s="2" t="inlineStr">
        <is>
          <t>Page8</t>
        </is>
      </c>
      <c r="C235" s="2" t="inlineStr">
        <is>
          <t>numericEdit</t>
        </is>
      </c>
      <c r="D235" s="2" t="inlineStr">
        <is>
          <t>decimal</t>
        </is>
      </c>
      <c r="E235" s="2" t="inlineStr">
        <is>
          <t>14</t>
        </is>
      </c>
      <c r="F235" s="2" t="inlineStr"/>
      <c r="G235" s="2" t="inlineStr">
        <is>
          <t>num{zzzzzzzzzzzzzz9.99}</t>
        </is>
      </c>
      <c r="H235" s="2" t="inlineStr">
        <is>
          <t>num{zzzzzzzzzzzzzz9.99}</t>
        </is>
      </c>
      <c r="I235" s="2" t="inlineStr">
        <is>
          <t>Editable</t>
        </is>
      </c>
      <c r="J235" s="2" t="inlineStr"/>
      <c r="K235" s="2" t="inlineStr"/>
      <c r="L235" s="2" t="inlineStr"/>
      <c r="M235" s="2" t="inlineStr"/>
    </row>
    <row r="236">
      <c r="A236" s="2" t="inlineStr">
        <is>
          <t>Page8.B100</t>
        </is>
      </c>
      <c r="B236" s="2" t="inlineStr">
        <is>
          <t>Page8</t>
        </is>
      </c>
      <c r="C236" s="2" t="inlineStr">
        <is>
          <t>numericEdit</t>
        </is>
      </c>
      <c r="D236" s="2" t="inlineStr">
        <is>
          <t>decimal</t>
        </is>
      </c>
      <c r="E236" s="2" t="inlineStr">
        <is>
          <t>14</t>
        </is>
      </c>
      <c r="F236" s="2" t="inlineStr"/>
      <c r="G236" s="2" t="inlineStr">
        <is>
          <t>num{zzzzzzzzzzzzzz9.99}</t>
        </is>
      </c>
      <c r="H236" s="2" t="inlineStr">
        <is>
          <t>num{zzzzzzzzzzzzzz9.99}</t>
        </is>
      </c>
      <c r="I236" s="2" t="inlineStr">
        <is>
          <t>Editable</t>
        </is>
      </c>
      <c r="J236" s="2" t="inlineStr"/>
      <c r="K236" s="2" t="inlineStr"/>
      <c r="L236" s="2" t="inlineStr"/>
      <c r="M236" s="2" t="inlineStr"/>
    </row>
    <row r="237">
      <c r="A237" s="2" t="inlineStr">
        <is>
          <t>Page8.B101</t>
        </is>
      </c>
      <c r="B237" s="2" t="inlineStr">
        <is>
          <t>Page8</t>
        </is>
      </c>
      <c r="C237" s="2" t="inlineStr">
        <is>
          <t>numericEdit</t>
        </is>
      </c>
      <c r="D237" s="2" t="inlineStr">
        <is>
          <t>decimal</t>
        </is>
      </c>
      <c r="E237" s="2" t="inlineStr">
        <is>
          <t>14</t>
        </is>
      </c>
      <c r="F237" s="2" t="inlineStr"/>
      <c r="G237" s="2" t="inlineStr">
        <is>
          <t>num{zzzzzzzzzzzzzz9.99}</t>
        </is>
      </c>
      <c r="H237" s="2" t="inlineStr">
        <is>
          <t>num{zzzzzzzzzzzzzz9.99}</t>
        </is>
      </c>
      <c r="I237" s="2" t="inlineStr">
        <is>
          <t>Editable</t>
        </is>
      </c>
      <c r="J237" s="2" t="inlineStr"/>
      <c r="K237" s="2" t="inlineStr"/>
      <c r="L237" s="2" t="inlineStr"/>
      <c r="M237" s="2" t="inlineStr"/>
    </row>
    <row r="238">
      <c r="A238" s="2" t="inlineStr">
        <is>
          <t>Page8.B102</t>
        </is>
      </c>
      <c r="B238" s="2" t="inlineStr">
        <is>
          <t>Page8</t>
        </is>
      </c>
      <c r="C238" s="2" t="inlineStr">
        <is>
          <t>numericEdit</t>
        </is>
      </c>
      <c r="D238" s="2" t="inlineStr">
        <is>
          <t>decimal</t>
        </is>
      </c>
      <c r="E238" s="2" t="inlineStr">
        <is>
          <t>14</t>
        </is>
      </c>
      <c r="F238" s="2" t="inlineStr"/>
      <c r="G238" s="2" t="inlineStr">
        <is>
          <t>num{zzzzzzzzzzzzzz9.99}</t>
        </is>
      </c>
      <c r="H238" s="2" t="inlineStr">
        <is>
          <t>num{zzzzzzzzzzzzzz9.99}</t>
        </is>
      </c>
      <c r="I238" s="2" t="inlineStr">
        <is>
          <t>Editable</t>
        </is>
      </c>
      <c r="J238" s="2" t="inlineStr"/>
      <c r="K238" s="2" t="inlineStr"/>
      <c r="L238" s="2" t="inlineStr"/>
      <c r="M238" s="2" t="inlineStr"/>
    </row>
    <row r="239">
      <c r="A239" s="2" t="inlineStr">
        <is>
          <t>Page8.B103</t>
        </is>
      </c>
      <c r="B239" s="2" t="inlineStr">
        <is>
          <t>Page8</t>
        </is>
      </c>
      <c r="C239" s="2" t="inlineStr">
        <is>
          <t>numericEdit</t>
        </is>
      </c>
      <c r="D239" s="2" t="inlineStr">
        <is>
          <t>decimal</t>
        </is>
      </c>
      <c r="E239" s="2" t="inlineStr">
        <is>
          <t>14</t>
        </is>
      </c>
      <c r="F239" s="2" t="inlineStr"/>
      <c r="G239" s="2" t="inlineStr">
        <is>
          <t>num{zzzzzzzzzzzzzz9.99}</t>
        </is>
      </c>
      <c r="H239" s="2" t="inlineStr">
        <is>
          <t>num{zzzzzzzzzzzzzz9.99}</t>
        </is>
      </c>
      <c r="I239" s="2" t="inlineStr">
        <is>
          <t>Editable</t>
        </is>
      </c>
      <c r="J239" s="2" t="inlineStr"/>
      <c r="K239" s="2" t="inlineStr"/>
      <c r="L239" s="2" t="inlineStr"/>
      <c r="M239" s="2" t="inlineStr"/>
    </row>
    <row r="240">
      <c r="A240" s="2" t="inlineStr">
        <is>
          <t>Page8.B104</t>
        </is>
      </c>
      <c r="B240" s="2" t="inlineStr">
        <is>
          <t>Page8</t>
        </is>
      </c>
      <c r="C240" s="2" t="inlineStr">
        <is>
          <t>numericEdit</t>
        </is>
      </c>
      <c r="D240" s="2" t="inlineStr">
        <is>
          <t>decimal</t>
        </is>
      </c>
      <c r="E240" s="2" t="inlineStr">
        <is>
          <t>14</t>
        </is>
      </c>
      <c r="F240" s="2" t="inlineStr"/>
      <c r="G240" s="2" t="inlineStr">
        <is>
          <t>num{zzzzzzzzzzzzzz9.99}</t>
        </is>
      </c>
      <c r="H240" s="2" t="inlineStr">
        <is>
          <t>num{zzzzzzzzzzzzzz9.99}</t>
        </is>
      </c>
      <c r="I240" s="2" t="inlineStr">
        <is>
          <t>Editable</t>
        </is>
      </c>
      <c r="J240" s="2" t="inlineStr"/>
      <c r="K240" s="2" t="inlineStr"/>
      <c r="L240" s="2" t="inlineStr"/>
      <c r="M240" s="2" t="inlineStr"/>
    </row>
    <row r="241">
      <c r="A241" s="2" t="inlineStr">
        <is>
          <t>Page8.B105</t>
        </is>
      </c>
      <c r="B241" s="2" t="inlineStr">
        <is>
          <t>Page8</t>
        </is>
      </c>
      <c r="C241" s="2" t="inlineStr">
        <is>
          <t>numericEdit</t>
        </is>
      </c>
      <c r="D241" s="2" t="inlineStr">
        <is>
          <t>decimal</t>
        </is>
      </c>
      <c r="E241" s="2" t="inlineStr">
        <is>
          <t>14</t>
        </is>
      </c>
      <c r="F241" s="2" t="inlineStr"/>
      <c r="G241" s="2" t="inlineStr">
        <is>
          <t>num{zzzzzzzzzzzzzz9.99}</t>
        </is>
      </c>
      <c r="H241" s="2" t="inlineStr">
        <is>
          <t>num{zzzzzzzzzzzzzz9.99}</t>
        </is>
      </c>
      <c r="I241" s="2" t="inlineStr">
        <is>
          <t>Editable</t>
        </is>
      </c>
      <c r="J241" s="2" t="inlineStr"/>
      <c r="K241" s="2" t="inlineStr"/>
      <c r="L241" s="2" t="inlineStr"/>
      <c r="M241" s="2" t="inlineStr"/>
    </row>
    <row r="242">
      <c r="A242" s="2" t="inlineStr">
        <is>
          <t>Page8.B106</t>
        </is>
      </c>
      <c r="B242" s="2" t="inlineStr">
        <is>
          <t>Page8</t>
        </is>
      </c>
      <c r="C242" s="2" t="inlineStr">
        <is>
          <t>numericEdit</t>
        </is>
      </c>
      <c r="D242" s="2" t="inlineStr">
        <is>
          <t>decimal</t>
        </is>
      </c>
      <c r="E242" s="2" t="inlineStr">
        <is>
          <t>14</t>
        </is>
      </c>
      <c r="F242" s="2" t="inlineStr"/>
      <c r="G242" s="2" t="inlineStr">
        <is>
          <t>num{zzzzzzzzzzzzzz9.99}</t>
        </is>
      </c>
      <c r="H242" s="2" t="inlineStr">
        <is>
          <t>num{zzzzzzzzzzzzzz9.99}</t>
        </is>
      </c>
      <c r="I242" s="2" t="inlineStr">
        <is>
          <t>Editable</t>
        </is>
      </c>
      <c r="J242" s="2" t="inlineStr"/>
      <c r="K242" s="2" t="inlineStr"/>
      <c r="L242" s="2" t="inlineStr"/>
      <c r="M242" s="2" t="inlineStr"/>
    </row>
    <row r="243">
      <c r="A243" s="2" t="inlineStr">
        <is>
          <t>Page8.B108</t>
        </is>
      </c>
      <c r="B243" s="2" t="inlineStr">
        <is>
          <t>Page8</t>
        </is>
      </c>
      <c r="C243" s="2" t="inlineStr">
        <is>
          <t>numericEdit</t>
        </is>
      </c>
      <c r="D243" s="2" t="inlineStr">
        <is>
          <t>decimal</t>
        </is>
      </c>
      <c r="E243" s="2" t="inlineStr">
        <is>
          <t>14</t>
        </is>
      </c>
      <c r="F243" s="2" t="inlineStr"/>
      <c r="G243" s="2" t="inlineStr">
        <is>
          <t>num{zzzzzzzzzzzzzz9.99}</t>
        </is>
      </c>
      <c r="H243" s="2" t="inlineStr">
        <is>
          <t>num{zzzzzzzzzzzzzz9.99}</t>
        </is>
      </c>
      <c r="I243" s="2" t="inlineStr">
        <is>
          <t>Editable</t>
        </is>
      </c>
      <c r="J243" s="2" t="inlineStr"/>
      <c r="K243" s="2" t="inlineStr"/>
      <c r="L243" s="2" t="inlineStr"/>
      <c r="M243" s="2" t="inlineStr"/>
    </row>
    <row r="244">
      <c r="A244" s="2" t="inlineStr">
        <is>
          <t>Page8.B110</t>
        </is>
      </c>
      <c r="B244" s="2" t="inlineStr">
        <is>
          <t>Page8</t>
        </is>
      </c>
      <c r="C244" s="2" t="inlineStr">
        <is>
          <t>numericEdit</t>
        </is>
      </c>
      <c r="D244" s="2" t="inlineStr">
        <is>
          <t>decimal</t>
        </is>
      </c>
      <c r="E244" s="2" t="inlineStr">
        <is>
          <t>14</t>
        </is>
      </c>
      <c r="F244" s="2" t="inlineStr"/>
      <c r="G244" s="2" t="inlineStr">
        <is>
          <t>num{zzzzzzzzzzzzzz9.99}</t>
        </is>
      </c>
      <c r="H244" s="2" t="inlineStr">
        <is>
          <t>num{zzzzzzzzzzzzzz9.99}</t>
        </is>
      </c>
      <c r="I244" s="2" t="inlineStr">
        <is>
          <t>Editable</t>
        </is>
      </c>
      <c r="J244" s="2" t="inlineStr"/>
      <c r="K244" s="2" t="inlineStr"/>
      <c r="L244" s="2" t="inlineStr"/>
      <c r="M244" s="2" t="inlineStr"/>
    </row>
    <row r="245">
      <c r="A245" s="2" t="inlineStr">
        <is>
          <t>Page8.B111</t>
        </is>
      </c>
      <c r="B245" s="2" t="inlineStr">
        <is>
          <t>Page8</t>
        </is>
      </c>
      <c r="C245" s="2" t="inlineStr">
        <is>
          <t>numericEdit</t>
        </is>
      </c>
      <c r="D245" s="2" t="inlineStr">
        <is>
          <t>decimal</t>
        </is>
      </c>
      <c r="E245" s="2" t="inlineStr">
        <is>
          <t>14</t>
        </is>
      </c>
      <c r="F245" s="2" t="inlineStr"/>
      <c r="G245" s="2" t="inlineStr">
        <is>
          <t>num{zzzzzzzzzzzzzz9.99}</t>
        </is>
      </c>
      <c r="H245" s="2" t="inlineStr">
        <is>
          <t>num{zzzzzzzzzzzzzz9.99}</t>
        </is>
      </c>
      <c r="I245" s="2" t="inlineStr">
        <is>
          <t>Editable</t>
        </is>
      </c>
      <c r="J245" s="2" t="inlineStr"/>
      <c r="K245" s="2" t="inlineStr"/>
      <c r="L245" s="2" t="inlineStr"/>
      <c r="M245" s="2" t="inlineStr"/>
    </row>
    <row r="246">
      <c r="A246" s="2" t="inlineStr">
        <is>
          <t>Page8.B112</t>
        </is>
      </c>
      <c r="B246" s="2" t="inlineStr">
        <is>
          <t>Page8</t>
        </is>
      </c>
      <c r="C246" s="2" t="inlineStr">
        <is>
          <t>numericEdit</t>
        </is>
      </c>
      <c r="D246" s="2" t="inlineStr">
        <is>
          <t>decimal</t>
        </is>
      </c>
      <c r="E246" s="2" t="inlineStr">
        <is>
          <t>14</t>
        </is>
      </c>
      <c r="F246" s="2" t="inlineStr"/>
      <c r="G246" s="2" t="inlineStr">
        <is>
          <t>num{zzzzzzzzzzzzzz9.99}</t>
        </is>
      </c>
      <c r="H246" s="2" t="inlineStr">
        <is>
          <t>num{zzzzzzzzzzzzzz9.99}</t>
        </is>
      </c>
      <c r="I246" s="2" t="inlineStr">
        <is>
          <t>Editable</t>
        </is>
      </c>
      <c r="J246" s="2" t="inlineStr"/>
      <c r="K246" s="2" t="inlineStr"/>
      <c r="L246" s="2" t="inlineStr"/>
      <c r="M246" s="2" t="inlineStr"/>
    </row>
    <row r="247">
      <c r="A247" s="2" t="inlineStr">
        <is>
          <t>Page8.B114</t>
        </is>
      </c>
      <c r="B247" s="2" t="inlineStr">
        <is>
          <t>Page8</t>
        </is>
      </c>
      <c r="C247" s="2" t="inlineStr">
        <is>
          <t>numericEdit</t>
        </is>
      </c>
      <c r="D247" s="2" t="inlineStr">
        <is>
          <t>decimal</t>
        </is>
      </c>
      <c r="E247" s="2" t="inlineStr">
        <is>
          <t>14</t>
        </is>
      </c>
      <c r="F247" s="2" t="inlineStr"/>
      <c r="G247" s="2" t="inlineStr">
        <is>
          <t>num{zzzzzzzzzzzzzz9.99}</t>
        </is>
      </c>
      <c r="H247" s="2" t="inlineStr">
        <is>
          <t>num{zzzzzzzzzzzzzz9.99}</t>
        </is>
      </c>
      <c r="I247" s="2" t="inlineStr">
        <is>
          <t>Editable</t>
        </is>
      </c>
      <c r="J247" s="2" t="inlineStr"/>
      <c r="K247" s="2" t="inlineStr"/>
      <c r="L247" s="2" t="inlineStr"/>
      <c r="M247" s="2" t="inlineStr"/>
    </row>
    <row r="248">
      <c r="A248" s="2" t="inlineStr">
        <is>
          <t>Page8.B115</t>
        </is>
      </c>
      <c r="B248" s="2" t="inlineStr">
        <is>
          <t>Page8</t>
        </is>
      </c>
      <c r="C248" s="2" t="inlineStr">
        <is>
          <t>numericEdit</t>
        </is>
      </c>
      <c r="D248" s="2" t="inlineStr">
        <is>
          <t>decimal</t>
        </is>
      </c>
      <c r="E248" s="2" t="inlineStr">
        <is>
          <t>14</t>
        </is>
      </c>
      <c r="F248" s="2" t="inlineStr"/>
      <c r="G248" s="2" t="inlineStr">
        <is>
          <t>num{zzzzzzzzzzzzzz9.99}</t>
        </is>
      </c>
      <c r="H248" s="2" t="inlineStr">
        <is>
          <t>num{zzzzzzzzzzzzzz9.99}</t>
        </is>
      </c>
      <c r="I248" s="2" t="inlineStr">
        <is>
          <t>Read-only</t>
        </is>
      </c>
      <c r="J248" s="2" t="inlineStr">
        <is>
          <t>Yes</t>
        </is>
      </c>
      <c r="K248" s="2" t="inlineStr"/>
      <c r="L248" s="2" t="inlineStr"/>
      <c r="M248" s="2" t="inlineStr"/>
    </row>
    <row r="249">
      <c r="A249" s="2" t="inlineStr">
        <is>
          <t>Page8.B116</t>
        </is>
      </c>
      <c r="B249" s="2" t="inlineStr">
        <is>
          <t>Page8</t>
        </is>
      </c>
      <c r="C249" s="2" t="inlineStr">
        <is>
          <t>numericEdit</t>
        </is>
      </c>
      <c r="D249" s="2" t="inlineStr">
        <is>
          <t>decimal</t>
        </is>
      </c>
      <c r="E249" s="2" t="inlineStr">
        <is>
          <t>14</t>
        </is>
      </c>
      <c r="F249" s="2" t="inlineStr"/>
      <c r="G249" s="2" t="inlineStr">
        <is>
          <t>num{zzzzzzzzzzzzzz9.99}</t>
        </is>
      </c>
      <c r="H249" s="2" t="inlineStr">
        <is>
          <t>num{zzzzzzzzzzzzzz9.99}</t>
        </is>
      </c>
      <c r="I249" s="2" t="inlineStr">
        <is>
          <t>Read-only</t>
        </is>
      </c>
      <c r="J249" s="2" t="inlineStr">
        <is>
          <t>Yes</t>
        </is>
      </c>
      <c r="K249" s="2" t="inlineStr"/>
      <c r="L249" s="2" t="inlineStr"/>
      <c r="M249" s="2" t="inlineStr"/>
    </row>
    <row r="250">
      <c r="A250" s="2" t="inlineStr">
        <is>
          <t>Page8.B117</t>
        </is>
      </c>
      <c r="B250" s="2" t="inlineStr">
        <is>
          <t>Page8</t>
        </is>
      </c>
      <c r="C250" s="2" t="inlineStr">
        <is>
          <t>numericEdit</t>
        </is>
      </c>
      <c r="D250" s="2" t="inlineStr">
        <is>
          <t>decimal</t>
        </is>
      </c>
      <c r="E250" s="2" t="inlineStr">
        <is>
          <t>14</t>
        </is>
      </c>
      <c r="F250" s="2" t="inlineStr"/>
      <c r="G250" s="2" t="inlineStr">
        <is>
          <t>num{zzzzzzzzzzzzzz9.99}</t>
        </is>
      </c>
      <c r="H250" s="2" t="inlineStr">
        <is>
          <t>num{zzzzzzzzzzzzzz9.99}</t>
        </is>
      </c>
      <c r="I250" s="2" t="inlineStr">
        <is>
          <t>Read-only</t>
        </is>
      </c>
      <c r="J250" s="2" t="inlineStr">
        <is>
          <t>Yes</t>
        </is>
      </c>
      <c r="K250" s="2" t="inlineStr"/>
      <c r="L250" s="2" t="inlineStr"/>
      <c r="M250" s="2" t="inlineStr"/>
    </row>
    <row r="251">
      <c r="A251" s="2" t="inlineStr">
        <is>
          <t>Page8.B118</t>
        </is>
      </c>
      <c r="B251" s="2" t="inlineStr">
        <is>
          <t>Page8</t>
        </is>
      </c>
      <c r="C251" s="2" t="inlineStr">
        <is>
          <t>numericEdit</t>
        </is>
      </c>
      <c r="D251" s="2" t="inlineStr">
        <is>
          <t>decimal</t>
        </is>
      </c>
      <c r="E251" s="2" t="inlineStr">
        <is>
          <t>14</t>
        </is>
      </c>
      <c r="F251" s="2" t="inlineStr"/>
      <c r="G251" s="2" t="inlineStr">
        <is>
          <t>num{zzzzzzzzzzzzzz9.99}</t>
        </is>
      </c>
      <c r="H251" s="2" t="inlineStr">
        <is>
          <t>num{zzzzzzzzzzzzzz9.99}</t>
        </is>
      </c>
      <c r="I251" s="2" t="inlineStr">
        <is>
          <t>Read-only</t>
        </is>
      </c>
      <c r="J251" s="2" t="inlineStr">
        <is>
          <t>Yes</t>
        </is>
      </c>
      <c r="K251" s="2" t="inlineStr"/>
      <c r="L251" s="2" t="inlineStr"/>
      <c r="M251" s="2" t="inlineStr"/>
    </row>
    <row r="252">
      <c r="A252" s="2" t="inlineStr">
        <is>
          <t>Page8.B120</t>
        </is>
      </c>
      <c r="B252" s="2" t="inlineStr">
        <is>
          <t>Page8</t>
        </is>
      </c>
      <c r="C252" s="2" t="inlineStr">
        <is>
          <t>numericEdit</t>
        </is>
      </c>
      <c r="D252" s="2" t="inlineStr">
        <is>
          <t>decimal</t>
        </is>
      </c>
      <c r="E252" s="2" t="inlineStr">
        <is>
          <t>14</t>
        </is>
      </c>
      <c r="F252" s="2" t="inlineStr"/>
      <c r="G252" s="2" t="inlineStr">
        <is>
          <t>num{zzzzzzzzzzzzzz9.99}</t>
        </is>
      </c>
      <c r="H252" s="2" t="inlineStr">
        <is>
          <t>num{zzzzzzzzzzzzzz9.99}</t>
        </is>
      </c>
      <c r="I252" s="2" t="inlineStr">
        <is>
          <t>Read-only</t>
        </is>
      </c>
      <c r="J252" s="2" t="inlineStr">
        <is>
          <t>Yes</t>
        </is>
      </c>
      <c r="K252" s="2" t="inlineStr"/>
      <c r="L252" s="2" t="inlineStr"/>
      <c r="M252" s="2" t="inlineStr"/>
    </row>
    <row r="253">
      <c r="A253" s="2" t="inlineStr">
        <is>
          <t>Page8.B121</t>
        </is>
      </c>
      <c r="B253" s="2" t="inlineStr">
        <is>
          <t>Page8</t>
        </is>
      </c>
      <c r="C253" s="2" t="inlineStr">
        <is>
          <t>numericEdit</t>
        </is>
      </c>
      <c r="D253" s="2" t="inlineStr">
        <is>
          <t>decimal</t>
        </is>
      </c>
      <c r="E253" s="2" t="inlineStr">
        <is>
          <t>14</t>
        </is>
      </c>
      <c r="F253" s="2" t="inlineStr"/>
      <c r="G253" s="2" t="inlineStr">
        <is>
          <t>num{zzzzzzzzzzzzzz9.99}</t>
        </is>
      </c>
      <c r="H253" s="2" t="inlineStr">
        <is>
          <t>num{zzzzzzzzzzzzzz9.99}</t>
        </is>
      </c>
      <c r="I253" s="2" t="inlineStr">
        <is>
          <t>Read-only</t>
        </is>
      </c>
      <c r="J253" s="2" t="inlineStr">
        <is>
          <t>Yes</t>
        </is>
      </c>
      <c r="K253" s="2" t="inlineStr"/>
      <c r="L253" s="2" t="inlineStr"/>
      <c r="M253" s="2" t="inlineStr"/>
    </row>
    <row r="254">
      <c r="A254" s="2" t="inlineStr">
        <is>
          <t>Page8.B122</t>
        </is>
      </c>
      <c r="B254" s="2" t="inlineStr">
        <is>
          <t>Page8</t>
        </is>
      </c>
      <c r="C254" s="2" t="inlineStr">
        <is>
          <t>numericEdit</t>
        </is>
      </c>
      <c r="D254" s="2" t="inlineStr">
        <is>
          <t>decimal</t>
        </is>
      </c>
      <c r="E254" s="2" t="inlineStr">
        <is>
          <t>14</t>
        </is>
      </c>
      <c r="F254" s="2" t="inlineStr"/>
      <c r="G254" s="2" t="inlineStr">
        <is>
          <t>num{zzzzzzzzzzzzzz9.99}</t>
        </is>
      </c>
      <c r="H254" s="2" t="inlineStr">
        <is>
          <t>num{zzzzzzzzzzzzzz9.99}</t>
        </is>
      </c>
      <c r="I254" s="2" t="inlineStr">
        <is>
          <t>Read-only</t>
        </is>
      </c>
      <c r="J254" s="2" t="inlineStr">
        <is>
          <t>Yes</t>
        </is>
      </c>
      <c r="K254" s="2" t="inlineStr"/>
      <c r="L254" s="2" t="inlineStr"/>
      <c r="M254" s="2" t="inlineStr"/>
    </row>
    <row r="255">
      <c r="A255" s="2" t="inlineStr">
        <is>
          <t>Page8.B123</t>
        </is>
      </c>
      <c r="B255" s="2" t="inlineStr">
        <is>
          <t>Page8</t>
        </is>
      </c>
      <c r="C255" s="2" t="inlineStr">
        <is>
          <t>numericEdit</t>
        </is>
      </c>
      <c r="D255" s="2" t="inlineStr">
        <is>
          <t>decimal</t>
        </is>
      </c>
      <c r="E255" s="2" t="inlineStr">
        <is>
          <t>14</t>
        </is>
      </c>
      <c r="F255" s="2" t="inlineStr"/>
      <c r="G255" s="2" t="inlineStr">
        <is>
          <t>num{zzzzzzzzzzzzzz9.99}</t>
        </is>
      </c>
      <c r="H255" s="2" t="inlineStr">
        <is>
          <t>num{zzzzzzzzzzzzzz9.99}</t>
        </is>
      </c>
      <c r="I255" s="2" t="inlineStr">
        <is>
          <t>Editable</t>
        </is>
      </c>
      <c r="J255" s="2" t="inlineStr"/>
      <c r="K255" s="2" t="inlineStr"/>
      <c r="L255" s="2" t="inlineStr"/>
      <c r="M255" s="2" t="inlineStr"/>
    </row>
    <row r="256">
      <c r="A256" s="2" t="inlineStr">
        <is>
          <t>Page8.B119</t>
        </is>
      </c>
      <c r="B256" s="2" t="inlineStr">
        <is>
          <t>Page8</t>
        </is>
      </c>
      <c r="C256" s="2" t="inlineStr">
        <is>
          <t>numericEdit</t>
        </is>
      </c>
      <c r="D256" s="2" t="inlineStr"/>
      <c r="E256" s="2" t="inlineStr">
        <is>
          <t>14</t>
        </is>
      </c>
      <c r="F256" s="2" t="inlineStr"/>
      <c r="G256" s="2" t="inlineStr"/>
      <c r="H256" s="2" t="inlineStr">
        <is>
          <t>num{zzzzzzzzzzzzzz9.99}</t>
        </is>
      </c>
      <c r="I256" s="2" t="inlineStr">
        <is>
          <t>Editable</t>
        </is>
      </c>
      <c r="J256" s="2" t="inlineStr"/>
      <c r="K256" s="2" t="inlineStr"/>
      <c r="L256" s="2" t="inlineStr"/>
      <c r="M256" s="2" t="inlineStr"/>
    </row>
    <row r="257">
      <c r="A257" s="2" t="inlineStr">
        <is>
          <t>Page8.B124</t>
        </is>
      </c>
      <c r="B257" s="2" t="inlineStr">
        <is>
          <t>Page8</t>
        </is>
      </c>
      <c r="C257" s="2" t="inlineStr">
        <is>
          <t>numericEdit</t>
        </is>
      </c>
      <c r="D257" s="2" t="inlineStr"/>
      <c r="E257" s="2" t="inlineStr">
        <is>
          <t>14</t>
        </is>
      </c>
      <c r="F257" s="2" t="inlineStr"/>
      <c r="G257" s="2" t="inlineStr"/>
      <c r="H257" s="2" t="inlineStr">
        <is>
          <t>num{zzzzzzzzzzzzzz9.99}</t>
        </is>
      </c>
      <c r="I257" s="2" t="inlineStr">
        <is>
          <t>Editable</t>
        </is>
      </c>
      <c r="J257" s="2" t="inlineStr"/>
      <c r="K257" s="2" t="inlineStr"/>
      <c r="L257" s="2" t="inlineStr"/>
      <c r="M257" s="2" t="inlineStr"/>
    </row>
    <row r="258">
      <c r="A258" s="2" t="inlineStr">
        <is>
          <t>Page8.B125</t>
        </is>
      </c>
      <c r="B258" s="2" t="inlineStr">
        <is>
          <t>Page8</t>
        </is>
      </c>
      <c r="C258" s="2" t="inlineStr">
        <is>
          <t>numericEdit</t>
        </is>
      </c>
      <c r="D258" s="2" t="inlineStr"/>
      <c r="E258" s="2" t="inlineStr">
        <is>
          <t>14</t>
        </is>
      </c>
      <c r="F258" s="2" t="inlineStr"/>
      <c r="G258" s="2" t="inlineStr"/>
      <c r="H258" s="2" t="inlineStr">
        <is>
          <t>num{zzzzzzzzzzzzzz9.99}</t>
        </is>
      </c>
      <c r="I258" s="2" t="inlineStr">
        <is>
          <t>Editable</t>
        </is>
      </c>
      <c r="J258" s="2" t="inlineStr"/>
      <c r="K258" s="2" t="inlineStr"/>
      <c r="L258" s="2" t="inlineStr"/>
      <c r="M258" s="2" t="inlineStr"/>
    </row>
    <row r="259">
      <c r="A259" s="2" t="inlineStr">
        <is>
          <t>Page8.B109</t>
        </is>
      </c>
      <c r="B259" s="2" t="inlineStr">
        <is>
          <t>Page8</t>
        </is>
      </c>
      <c r="C259" s="2" t="inlineStr">
        <is>
          <t>numericEdit</t>
        </is>
      </c>
      <c r="D259" s="2" t="inlineStr">
        <is>
          <t>decimal</t>
        </is>
      </c>
      <c r="E259" s="2" t="inlineStr">
        <is>
          <t>14</t>
        </is>
      </c>
      <c r="F259" s="2" t="inlineStr"/>
      <c r="G259" s="2" t="inlineStr">
        <is>
          <t>num{zzzzzzzzzzzzzz9.99}</t>
        </is>
      </c>
      <c r="H259" s="2" t="inlineStr">
        <is>
          <t>num{zzzzzzzzzzzzzz9.99}</t>
        </is>
      </c>
      <c r="I259" s="2" t="inlineStr">
        <is>
          <t>Editable</t>
        </is>
      </c>
      <c r="J259" s="2" t="inlineStr"/>
      <c r="K259" s="2" t="inlineStr"/>
      <c r="L259" s="2" t="inlineStr"/>
      <c r="M259" s="2" t="inlineStr"/>
    </row>
    <row r="260">
      <c r="A260" s="2" t="inlineStr">
        <is>
          <t>Page8.B107</t>
        </is>
      </c>
      <c r="B260" s="2" t="inlineStr">
        <is>
          <t>Page8</t>
        </is>
      </c>
      <c r="C260" s="2" t="inlineStr">
        <is>
          <t>numericEdit</t>
        </is>
      </c>
      <c r="D260" s="2" t="inlineStr">
        <is>
          <t>decimal</t>
        </is>
      </c>
      <c r="E260" s="2" t="inlineStr">
        <is>
          <t>14</t>
        </is>
      </c>
      <c r="F260" s="2" t="inlineStr"/>
      <c r="G260" s="2" t="inlineStr">
        <is>
          <t>num{zzzzzzzzzzzzzz9.99}</t>
        </is>
      </c>
      <c r="H260" s="2" t="inlineStr">
        <is>
          <t>num{zzzzzzzzzzzzzz9.99}</t>
        </is>
      </c>
      <c r="I260" s="2" t="inlineStr">
        <is>
          <t>Editable</t>
        </is>
      </c>
      <c r="J260" s="2" t="inlineStr"/>
      <c r="K260" s="2" t="inlineStr"/>
      <c r="L260" s="2" t="inlineStr"/>
      <c r="M260" s="2" t="inlineStr"/>
    </row>
    <row r="261">
      <c r="A261" s="2" t="inlineStr">
        <is>
          <t>Page8.B113</t>
        </is>
      </c>
      <c r="B261" s="2" t="inlineStr">
        <is>
          <t>Page8</t>
        </is>
      </c>
      <c r="C261" s="2" t="inlineStr">
        <is>
          <t>numericEdit</t>
        </is>
      </c>
      <c r="D261" s="2" t="inlineStr">
        <is>
          <t>decimal</t>
        </is>
      </c>
      <c r="E261" s="2" t="inlineStr">
        <is>
          <t>14</t>
        </is>
      </c>
      <c r="F261" s="2" t="inlineStr"/>
      <c r="G261" s="2" t="inlineStr">
        <is>
          <t>num{zzzzzzzzzzzzzz9.99}</t>
        </is>
      </c>
      <c r="H261" s="2" t="inlineStr">
        <is>
          <t>num{zzzzzzzzzzzzzz9.99}</t>
        </is>
      </c>
      <c r="I261" s="2" t="inlineStr">
        <is>
          <t>Editable</t>
        </is>
      </c>
      <c r="J261" s="2" t="inlineStr"/>
      <c r="K261" s="2" t="inlineStr"/>
      <c r="L261" s="2" t="inlineStr"/>
      <c r="M261" s="2" t="inlineStr"/>
    </row>
    <row r="262">
      <c r="A262" s="2" t="inlineStr">
        <is>
          <t>Page8.B126</t>
        </is>
      </c>
      <c r="B262" s="2" t="inlineStr">
        <is>
          <t>Page8</t>
        </is>
      </c>
      <c r="C262" s="2" t="inlineStr">
        <is>
          <t>numericEdit</t>
        </is>
      </c>
      <c r="D262" s="2" t="inlineStr"/>
      <c r="E262" s="2" t="inlineStr">
        <is>
          <t>14</t>
        </is>
      </c>
      <c r="F262" s="2" t="inlineStr"/>
      <c r="G262" s="2" t="inlineStr"/>
      <c r="H262" s="2" t="inlineStr">
        <is>
          <t>num{zzzzzzzzzzzzzz9.99}</t>
        </is>
      </c>
      <c r="I262" s="2" t="inlineStr">
        <is>
          <t>Editable</t>
        </is>
      </c>
      <c r="J262" s="2" t="inlineStr"/>
      <c r="K262" s="2" t="inlineStr"/>
      <c r="L262" s="2" t="inlineStr"/>
      <c r="M262" s="2" t="inlineStr"/>
    </row>
    <row r="263">
      <c r="A263" s="2" t="inlineStr">
        <is>
          <t>Page9.B128</t>
        </is>
      </c>
      <c r="B263" s="2" t="inlineStr">
        <is>
          <t>Page9</t>
        </is>
      </c>
      <c r="C263" s="2" t="inlineStr">
        <is>
          <t>numericEdit</t>
        </is>
      </c>
      <c r="D263" s="2" t="inlineStr">
        <is>
          <t>decimal</t>
        </is>
      </c>
      <c r="E263" s="2" t="inlineStr">
        <is>
          <t>14</t>
        </is>
      </c>
      <c r="F263" s="2" t="inlineStr"/>
      <c r="G263" s="2" t="inlineStr">
        <is>
          <t>num{zzzzzzzzzzzz9.99}</t>
        </is>
      </c>
      <c r="H263" s="2" t="inlineStr">
        <is>
          <t>num{zzzzzzzzzzzz9.99}</t>
        </is>
      </c>
      <c r="I263" s="2" t="inlineStr">
        <is>
          <t>Read-only</t>
        </is>
      </c>
      <c r="J263" s="2" t="inlineStr">
        <is>
          <t>Yes</t>
        </is>
      </c>
      <c r="K263" s="2" t="inlineStr"/>
      <c r="L263" s="2" t="inlineStr"/>
      <c r="M263" s="2" t="inlineStr"/>
    </row>
    <row r="264">
      <c r="A264" s="2" t="inlineStr">
        <is>
          <t>Page9.B129</t>
        </is>
      </c>
      <c r="B264" s="2" t="inlineStr">
        <is>
          <t>Page9</t>
        </is>
      </c>
      <c r="C264" s="2" t="inlineStr">
        <is>
          <t>numericEdit</t>
        </is>
      </c>
      <c r="D264" s="2" t="inlineStr">
        <is>
          <t>decimal</t>
        </is>
      </c>
      <c r="E264" s="2" t="inlineStr">
        <is>
          <t>14</t>
        </is>
      </c>
      <c r="F264" s="2" t="inlineStr"/>
      <c r="G264" s="2" t="inlineStr">
        <is>
          <t>num{zzzzzzzzzzzzzz9.99}</t>
        </is>
      </c>
      <c r="H264" s="2" t="inlineStr">
        <is>
          <t>num{zzzzzzzzzzzzzz9.99}</t>
        </is>
      </c>
      <c r="I264" s="2" t="inlineStr">
        <is>
          <t>Read-only</t>
        </is>
      </c>
      <c r="J264" s="2" t="inlineStr">
        <is>
          <t>Yes</t>
        </is>
      </c>
      <c r="K264" s="2" t="inlineStr"/>
      <c r="L264" s="2" t="inlineStr"/>
      <c r="M264" s="2" t="inlineStr"/>
    </row>
    <row r="265">
      <c r="A265" s="2" t="inlineStr">
        <is>
          <t>Page9.B127</t>
        </is>
      </c>
      <c r="B265" s="2" t="inlineStr">
        <is>
          <t>Page9</t>
        </is>
      </c>
      <c r="C265" s="2" t="inlineStr">
        <is>
          <t>numericEdit</t>
        </is>
      </c>
      <c r="D265" s="2" t="inlineStr"/>
      <c r="E265" s="2" t="inlineStr">
        <is>
          <t>14</t>
        </is>
      </c>
      <c r="F265" s="2" t="inlineStr"/>
      <c r="G265" s="2" t="inlineStr"/>
      <c r="H265" s="2" t="inlineStr">
        <is>
          <t>num{zzzzzzzzzzzzzz9.99}</t>
        </is>
      </c>
      <c r="I265" s="2" t="inlineStr">
        <is>
          <t>Read-only</t>
        </is>
      </c>
      <c r="J265" s="2" t="inlineStr">
        <is>
          <t>Yes</t>
        </is>
      </c>
      <c r="K265" s="2" t="inlineStr"/>
      <c r="L265" s="2" t="inlineStr"/>
      <c r="M265" s="2" t="inlineStr"/>
    </row>
    <row r="266">
      <c r="A266" s="2" t="inlineStr">
        <is>
          <t>Page9.B130</t>
        </is>
      </c>
      <c r="B266" s="2" t="inlineStr">
        <is>
          <t>Page9</t>
        </is>
      </c>
      <c r="C266" s="2" t="inlineStr">
        <is>
          <t>numericEdit</t>
        </is>
      </c>
      <c r="D266" s="2" t="inlineStr">
        <is>
          <t>decimal</t>
        </is>
      </c>
      <c r="E266" s="2" t="inlineStr">
        <is>
          <t>14</t>
        </is>
      </c>
      <c r="F266" s="2" t="inlineStr"/>
      <c r="G266" s="2" t="inlineStr">
        <is>
          <t>num{zzzzzzzzzzzzzz9.99}</t>
        </is>
      </c>
      <c r="H266" s="2" t="inlineStr">
        <is>
          <t>num{zzzzzzzzzzzzzz9.99}</t>
        </is>
      </c>
      <c r="I266" s="2" t="inlineStr">
        <is>
          <t>Read-only</t>
        </is>
      </c>
      <c r="J266" s="2" t="inlineStr">
        <is>
          <t>Yes</t>
        </is>
      </c>
      <c r="K266" s="2" t="inlineStr"/>
      <c r="L266" s="2" t="inlineStr"/>
      <c r="M266" s="2" t="inlineStr"/>
    </row>
    <row r="267">
      <c r="A267" s="2" t="inlineStr">
        <is>
          <t>Page9.B131</t>
        </is>
      </c>
      <c r="B267" s="2" t="inlineStr">
        <is>
          <t>Page9</t>
        </is>
      </c>
      <c r="C267" s="2" t="inlineStr">
        <is>
          <t>numericEdit</t>
        </is>
      </c>
      <c r="D267" s="2" t="inlineStr">
        <is>
          <t>decimal</t>
        </is>
      </c>
      <c r="E267" s="2" t="inlineStr">
        <is>
          <t>14</t>
        </is>
      </c>
      <c r="F267" s="2" t="inlineStr"/>
      <c r="G267" s="2" t="inlineStr">
        <is>
          <t>num{zzzzzzzzzzzzzz9.99}</t>
        </is>
      </c>
      <c r="H267" s="2" t="inlineStr">
        <is>
          <t>num{zzzzzzzzzzzzzz9.99}</t>
        </is>
      </c>
      <c r="I267" s="2" t="inlineStr">
        <is>
          <t>Editable</t>
        </is>
      </c>
      <c r="J267" s="2" t="inlineStr"/>
      <c r="K267" s="2" t="inlineStr"/>
      <c r="L267" s="2" t="inlineStr"/>
      <c r="M267" s="2" t="inlineStr"/>
    </row>
    <row r="268">
      <c r="A268" s="2" t="inlineStr">
        <is>
          <t>Page9.B132</t>
        </is>
      </c>
      <c r="B268" s="2" t="inlineStr">
        <is>
          <t>Page9</t>
        </is>
      </c>
      <c r="C268" s="2" t="inlineStr">
        <is>
          <t>numericEdit</t>
        </is>
      </c>
      <c r="D268" s="2" t="inlineStr">
        <is>
          <t>decimal</t>
        </is>
      </c>
      <c r="E268" s="2" t="inlineStr">
        <is>
          <t>14</t>
        </is>
      </c>
      <c r="F268" s="2" t="inlineStr"/>
      <c r="G268" s="2" t="inlineStr">
        <is>
          <t>num{zzzzzzzzzzzzzz9.99}</t>
        </is>
      </c>
      <c r="H268" s="2" t="inlineStr">
        <is>
          <t>num{zzzzzzzzzzzzzz9.99}</t>
        </is>
      </c>
      <c r="I268" s="2" t="inlineStr">
        <is>
          <t>Editable</t>
        </is>
      </c>
      <c r="J268" s="2" t="inlineStr"/>
      <c r="K268" s="2" t="inlineStr"/>
      <c r="L268" s="2" t="inlineStr"/>
      <c r="M268" s="2" t="inlineStr"/>
    </row>
    <row r="269">
      <c r="A269" s="2" t="inlineStr">
        <is>
          <t>Page9.B133</t>
        </is>
      </c>
      <c r="B269" s="2" t="inlineStr">
        <is>
          <t>Page9</t>
        </is>
      </c>
      <c r="C269" s="2" t="inlineStr">
        <is>
          <t>numericEdit</t>
        </is>
      </c>
      <c r="D269" s="2" t="inlineStr">
        <is>
          <t>decimal</t>
        </is>
      </c>
      <c r="E269" s="2" t="inlineStr">
        <is>
          <t>14</t>
        </is>
      </c>
      <c r="F269" s="2" t="inlineStr"/>
      <c r="G269" s="2" t="inlineStr">
        <is>
          <t>num{zzzzzzzzzzzzzz9.99}</t>
        </is>
      </c>
      <c r="H269" s="2" t="inlineStr">
        <is>
          <t>num{zzzzzzzzzzzzzz9.99}</t>
        </is>
      </c>
      <c r="I269" s="2" t="inlineStr">
        <is>
          <t>Editable</t>
        </is>
      </c>
      <c r="J269" s="2" t="inlineStr"/>
      <c r="K269" s="2" t="inlineStr"/>
      <c r="L269" s="2" t="inlineStr"/>
      <c r="M269" s="2" t="inlineStr"/>
    </row>
    <row r="270">
      <c r="A270" s="2" t="inlineStr">
        <is>
          <t>Page9.B134</t>
        </is>
      </c>
      <c r="B270" s="2" t="inlineStr">
        <is>
          <t>Page9</t>
        </is>
      </c>
      <c r="C270" s="2" t="inlineStr">
        <is>
          <t>numericEdit</t>
        </is>
      </c>
      <c r="D270" s="2" t="inlineStr">
        <is>
          <t>decimal</t>
        </is>
      </c>
      <c r="E270" s="2" t="inlineStr">
        <is>
          <t>14</t>
        </is>
      </c>
      <c r="F270" s="2" t="inlineStr"/>
      <c r="G270" s="2" t="inlineStr">
        <is>
          <t>num{zzzzzzzzzzzzzz9.99}</t>
        </is>
      </c>
      <c r="H270" s="2" t="inlineStr">
        <is>
          <t>num{zzzzzzzzzzzzzz9.99}</t>
        </is>
      </c>
      <c r="I270" s="2" t="inlineStr">
        <is>
          <t>Editable</t>
        </is>
      </c>
      <c r="J270" s="2" t="inlineStr"/>
      <c r="K270" s="2" t="inlineStr"/>
      <c r="L270" s="2" t="inlineStr"/>
      <c r="M270" s="2" t="inlineStr"/>
    </row>
    <row r="271">
      <c r="A271" s="2" t="inlineStr">
        <is>
          <t>Page9.B135</t>
        </is>
      </c>
      <c r="B271" s="2" t="inlineStr">
        <is>
          <t>Page9</t>
        </is>
      </c>
      <c r="C271" s="2" t="inlineStr">
        <is>
          <t>numericEdit</t>
        </is>
      </c>
      <c r="D271" s="2" t="inlineStr">
        <is>
          <t>decimal</t>
        </is>
      </c>
      <c r="E271" s="2" t="inlineStr">
        <is>
          <t>14</t>
        </is>
      </c>
      <c r="F271" s="2" t="inlineStr"/>
      <c r="G271" s="2" t="inlineStr">
        <is>
          <t>num{zzzzzzzzzzzzzz9.99}</t>
        </is>
      </c>
      <c r="H271" s="2" t="inlineStr">
        <is>
          <t>num{zzzzzzzzzzzzzz9.99}</t>
        </is>
      </c>
      <c r="I271" s="2" t="inlineStr">
        <is>
          <t>Editable</t>
        </is>
      </c>
      <c r="J271" s="2" t="inlineStr"/>
      <c r="K271" s="2" t="inlineStr"/>
      <c r="L271" s="2" t="inlineStr"/>
      <c r="M271" s="2" t="inlineStr"/>
    </row>
    <row r="272">
      <c r="A272" s="2" t="inlineStr">
        <is>
          <t>Page9.B136</t>
        </is>
      </c>
      <c r="B272" s="2" t="inlineStr">
        <is>
          <t>Page9</t>
        </is>
      </c>
      <c r="C272" s="2" t="inlineStr">
        <is>
          <t>numericEdit</t>
        </is>
      </c>
      <c r="D272" s="2" t="inlineStr">
        <is>
          <t>decimal</t>
        </is>
      </c>
      <c r="E272" s="2" t="inlineStr">
        <is>
          <t>14</t>
        </is>
      </c>
      <c r="F272" s="2" t="inlineStr"/>
      <c r="G272" s="2" t="inlineStr">
        <is>
          <t>num{zzzzzzzzzzzzzz9.99}</t>
        </is>
      </c>
      <c r="H272" s="2" t="inlineStr">
        <is>
          <t>num{zzzzzzzzzzzzzz9.99}</t>
        </is>
      </c>
      <c r="I272" s="2" t="inlineStr">
        <is>
          <t>Read-only</t>
        </is>
      </c>
      <c r="J272" s="2" t="inlineStr">
        <is>
          <t>Yes</t>
        </is>
      </c>
      <c r="K272" s="2" t="inlineStr"/>
      <c r="L272" s="2" t="inlineStr"/>
      <c r="M272" s="2" t="inlineStr"/>
    </row>
    <row r="273">
      <c r="A273" s="2" t="inlineStr">
        <is>
          <t>Page9.B137</t>
        </is>
      </c>
      <c r="B273" s="2" t="inlineStr">
        <is>
          <t>Page9</t>
        </is>
      </c>
      <c r="C273" s="2" t="inlineStr">
        <is>
          <t>numericEdit</t>
        </is>
      </c>
      <c r="D273" s="2" t="inlineStr">
        <is>
          <t>decimal</t>
        </is>
      </c>
      <c r="E273" s="2" t="inlineStr">
        <is>
          <t>14</t>
        </is>
      </c>
      <c r="F273" s="2" t="inlineStr"/>
      <c r="G273" s="2" t="inlineStr">
        <is>
          <t>num{zzzzzzzzzzzzzz9.99}</t>
        </is>
      </c>
      <c r="H273" s="2" t="inlineStr">
        <is>
          <t>num{zzzzzzzzzzzzzz9.99}</t>
        </is>
      </c>
      <c r="I273" s="2" t="inlineStr">
        <is>
          <t>Read-only</t>
        </is>
      </c>
      <c r="J273" s="2" t="inlineStr">
        <is>
          <t>Yes</t>
        </is>
      </c>
      <c r="K273" s="2" t="inlineStr"/>
      <c r="L273" s="2" t="inlineStr"/>
      <c r="M273" s="2" t="inlineStr"/>
    </row>
    <row r="274">
      <c r="A274" s="2" t="inlineStr">
        <is>
          <t>Page9.B138</t>
        </is>
      </c>
      <c r="B274" s="2" t="inlineStr">
        <is>
          <t>Page9</t>
        </is>
      </c>
      <c r="C274" s="2" t="inlineStr">
        <is>
          <t>numericEdit</t>
        </is>
      </c>
      <c r="D274" s="2" t="inlineStr">
        <is>
          <t>decimal</t>
        </is>
      </c>
      <c r="E274" s="2" t="inlineStr">
        <is>
          <t>14</t>
        </is>
      </c>
      <c r="F274" s="2" t="inlineStr"/>
      <c r="G274" s="2" t="inlineStr">
        <is>
          <t>num{zzzzzzzzzzzzzz9.99}</t>
        </is>
      </c>
      <c r="H274" s="2" t="inlineStr">
        <is>
          <t>num{zzzzzzzzzzzzzz9.99}</t>
        </is>
      </c>
      <c r="I274" s="2" t="inlineStr">
        <is>
          <t>Read-only</t>
        </is>
      </c>
      <c r="J274" s="2" t="inlineStr">
        <is>
          <t>Yes</t>
        </is>
      </c>
      <c r="K274" s="2" t="inlineStr"/>
      <c r="L274" s="2" t="inlineStr"/>
      <c r="M274" s="2" t="inlineStr"/>
    </row>
    <row r="275">
      <c r="A275" s="2" t="inlineStr">
        <is>
          <t>Page9.B139</t>
        </is>
      </c>
      <c r="B275" s="2" t="inlineStr">
        <is>
          <t>Page9</t>
        </is>
      </c>
      <c r="C275" s="2" t="inlineStr">
        <is>
          <t>numericEdit</t>
        </is>
      </c>
      <c r="D275" s="2" t="inlineStr">
        <is>
          <t>decimal</t>
        </is>
      </c>
      <c r="E275" s="2" t="inlineStr">
        <is>
          <t>14</t>
        </is>
      </c>
      <c r="F275" s="2" t="inlineStr"/>
      <c r="G275" s="2" t="inlineStr">
        <is>
          <t>num{zzzzzzzzzzzzzz9.99}</t>
        </is>
      </c>
      <c r="H275" s="2" t="inlineStr">
        <is>
          <t>num{zzzzzzzzzzzzzz9.99}</t>
        </is>
      </c>
      <c r="I275" s="2" t="inlineStr">
        <is>
          <t>Editable</t>
        </is>
      </c>
      <c r="J275" s="2" t="inlineStr"/>
      <c r="K275" s="2" t="inlineStr"/>
      <c r="L275" s="2" t="inlineStr"/>
      <c r="M275" s="2" t="inlineStr"/>
    </row>
    <row r="276">
      <c r="A276" s="2" t="inlineStr">
        <is>
          <t>Page9.B140</t>
        </is>
      </c>
      <c r="B276" s="2" t="inlineStr">
        <is>
          <t>Page9</t>
        </is>
      </c>
      <c r="C276" s="2" t="inlineStr">
        <is>
          <t>numericEdit</t>
        </is>
      </c>
      <c r="D276" s="2" t="inlineStr">
        <is>
          <t>decimal</t>
        </is>
      </c>
      <c r="E276" s="2" t="inlineStr">
        <is>
          <t>14</t>
        </is>
      </c>
      <c r="F276" s="2" t="inlineStr"/>
      <c r="G276" s="2" t="inlineStr">
        <is>
          <t>num{zzzzzzzzzzzzzz9.99}</t>
        </is>
      </c>
      <c r="H276" s="2" t="inlineStr">
        <is>
          <t>num{zzzzzzzzzzzzzz9.99}</t>
        </is>
      </c>
      <c r="I276" s="2" t="inlineStr">
        <is>
          <t>Read-only</t>
        </is>
      </c>
      <c r="J276" s="2" t="inlineStr">
        <is>
          <t>Yes</t>
        </is>
      </c>
      <c r="K276" s="2" t="inlineStr"/>
      <c r="L276" s="2" t="inlineStr"/>
      <c r="M276" s="2" t="inlineStr"/>
    </row>
    <row r="277">
      <c r="A277" s="2" t="inlineStr">
        <is>
          <t>Page9.B141</t>
        </is>
      </c>
      <c r="B277" s="2" t="inlineStr">
        <is>
          <t>Page9</t>
        </is>
      </c>
      <c r="C277" s="2" t="inlineStr">
        <is>
          <t>numericEdit</t>
        </is>
      </c>
      <c r="D277" s="2" t="inlineStr">
        <is>
          <t>decimal</t>
        </is>
      </c>
      <c r="E277" s="2" t="inlineStr">
        <is>
          <t>14</t>
        </is>
      </c>
      <c r="F277" s="2" t="inlineStr"/>
      <c r="G277" s="2" t="inlineStr">
        <is>
          <t>num{zzzzzzzzzzzzzz9.99}</t>
        </is>
      </c>
      <c r="H277" s="2" t="inlineStr">
        <is>
          <t>num{zzzzzzzzzzzzzz9.99}</t>
        </is>
      </c>
      <c r="I277" s="2" t="inlineStr">
        <is>
          <t>Editable</t>
        </is>
      </c>
      <c r="J277" s="2" t="inlineStr"/>
      <c r="K277" s="2" t="inlineStr"/>
      <c r="L277" s="2" t="inlineStr"/>
      <c r="M277" s="2" t="inlineStr"/>
    </row>
    <row r="278">
      <c r="A278" s="2" t="inlineStr">
        <is>
          <t>Page9.B142</t>
        </is>
      </c>
      <c r="B278" s="2" t="inlineStr">
        <is>
          <t>Page9</t>
        </is>
      </c>
      <c r="C278" s="2" t="inlineStr">
        <is>
          <t>numericEdit</t>
        </is>
      </c>
      <c r="D278" s="2" t="inlineStr">
        <is>
          <t>decimal</t>
        </is>
      </c>
      <c r="E278" s="2" t="inlineStr">
        <is>
          <t>14</t>
        </is>
      </c>
      <c r="F278" s="2" t="inlineStr"/>
      <c r="G278" s="2" t="inlineStr">
        <is>
          <t>num{zzzzzzzzzzzzzz9.99}</t>
        </is>
      </c>
      <c r="H278" s="2" t="inlineStr">
        <is>
          <t>num{zzzzzzzzzzzzzz9.99}</t>
        </is>
      </c>
      <c r="I278" s="2" t="inlineStr">
        <is>
          <t>Editable</t>
        </is>
      </c>
      <c r="J278" s="2" t="inlineStr"/>
      <c r="K278" s="2" t="inlineStr"/>
      <c r="L278" s="2" t="inlineStr"/>
      <c r="M278" s="2" t="inlineStr"/>
    </row>
    <row r="279">
      <c r="A279" s="2" t="inlineStr">
        <is>
          <t>Page9.B143</t>
        </is>
      </c>
      <c r="B279" s="2" t="inlineStr">
        <is>
          <t>Page9</t>
        </is>
      </c>
      <c r="C279" s="2" t="inlineStr">
        <is>
          <t>numericEdit</t>
        </is>
      </c>
      <c r="D279" s="2" t="inlineStr">
        <is>
          <t>decimal</t>
        </is>
      </c>
      <c r="E279" s="2" t="inlineStr">
        <is>
          <t>14</t>
        </is>
      </c>
      <c r="F279" s="2" t="inlineStr"/>
      <c r="G279" s="2" t="inlineStr">
        <is>
          <t>num{zzzzzzzzzzzzzz9.99}</t>
        </is>
      </c>
      <c r="H279" s="2" t="inlineStr">
        <is>
          <t>num{zzzzzzzzzzzzzz9.99}</t>
        </is>
      </c>
      <c r="I279" s="2" t="inlineStr">
        <is>
          <t>Editable</t>
        </is>
      </c>
      <c r="J279" s="2" t="inlineStr"/>
      <c r="K279" s="2" t="inlineStr"/>
      <c r="L279" s="2" t="inlineStr"/>
      <c r="M279" s="2" t="inlineStr"/>
    </row>
    <row r="280">
      <c r="A280" s="2" t="inlineStr">
        <is>
          <t>Page9.B144</t>
        </is>
      </c>
      <c r="B280" s="2" t="inlineStr">
        <is>
          <t>Page9</t>
        </is>
      </c>
      <c r="C280" s="2" t="inlineStr">
        <is>
          <t>numericEdit</t>
        </is>
      </c>
      <c r="D280" s="2" t="inlineStr">
        <is>
          <t>decimal</t>
        </is>
      </c>
      <c r="E280" s="2" t="inlineStr">
        <is>
          <t>14</t>
        </is>
      </c>
      <c r="F280" s="2" t="inlineStr"/>
      <c r="G280" s="2" t="inlineStr">
        <is>
          <t>num{zzzzzzzzzzzzzz9.99}</t>
        </is>
      </c>
      <c r="H280" s="2" t="inlineStr">
        <is>
          <t>num{zzzzzzzzzzzzzz9.99}</t>
        </is>
      </c>
      <c r="I280" s="2" t="inlineStr">
        <is>
          <t>Editable</t>
        </is>
      </c>
      <c r="J280" s="2" t="inlineStr"/>
      <c r="K280" s="2" t="inlineStr"/>
      <c r="L280" s="2" t="inlineStr"/>
      <c r="M280" s="2" t="inlineStr"/>
    </row>
    <row r="281">
      <c r="A281" s="2" t="inlineStr">
        <is>
          <t>Page9.B145</t>
        </is>
      </c>
      <c r="B281" s="2" t="inlineStr">
        <is>
          <t>Page9</t>
        </is>
      </c>
      <c r="C281" s="2" t="inlineStr">
        <is>
          <t>numericEdit</t>
        </is>
      </c>
      <c r="D281" s="2" t="inlineStr">
        <is>
          <t>decimal</t>
        </is>
      </c>
      <c r="E281" s="2" t="inlineStr">
        <is>
          <t>14</t>
        </is>
      </c>
      <c r="F281" s="2" t="inlineStr"/>
      <c r="G281" s="2" t="inlineStr">
        <is>
          <t>num{zzzzzzzzzzzzzz9.99}</t>
        </is>
      </c>
      <c r="H281" s="2" t="inlineStr">
        <is>
          <t>num{zzzzzzzzzzzzzz9.99}</t>
        </is>
      </c>
      <c r="I281" s="2" t="inlineStr">
        <is>
          <t>Read-only</t>
        </is>
      </c>
      <c r="J281" s="2" t="inlineStr">
        <is>
          <t>Yes</t>
        </is>
      </c>
      <c r="K281" s="2" t="inlineStr"/>
      <c r="L281" s="2" t="inlineStr"/>
      <c r="M281" s="2" t="inlineStr"/>
    </row>
    <row r="282">
      <c r="A282" s="2" t="inlineStr">
        <is>
          <t>Page9.B146</t>
        </is>
      </c>
      <c r="B282" s="2" t="inlineStr">
        <is>
          <t>Page9</t>
        </is>
      </c>
      <c r="C282" s="2" t="inlineStr">
        <is>
          <t>numericEdit</t>
        </is>
      </c>
      <c r="D282" s="2" t="inlineStr">
        <is>
          <t>decimal</t>
        </is>
      </c>
      <c r="E282" s="2" t="inlineStr">
        <is>
          <t>14</t>
        </is>
      </c>
      <c r="F282" s="2" t="inlineStr"/>
      <c r="G282" s="2" t="inlineStr">
        <is>
          <t>num{zzzzzzzzzzzzzz9.99}</t>
        </is>
      </c>
      <c r="H282" s="2" t="inlineStr">
        <is>
          <t>num{zzzzzzzzzzzzzz9.99}</t>
        </is>
      </c>
      <c r="I282" s="2" t="inlineStr">
        <is>
          <t>Editable</t>
        </is>
      </c>
      <c r="J282" s="2" t="inlineStr"/>
      <c r="K282" s="2" t="inlineStr"/>
      <c r="L282" s="2" t="inlineStr"/>
      <c r="M282" s="2" t="inlineStr"/>
    </row>
    <row r="283">
      <c r="A283" s="2" t="inlineStr">
        <is>
          <t>Page9.B147</t>
        </is>
      </c>
      <c r="B283" s="2" t="inlineStr">
        <is>
          <t>Page9</t>
        </is>
      </c>
      <c r="C283" s="2" t="inlineStr">
        <is>
          <t>numericEdit</t>
        </is>
      </c>
      <c r="D283" s="2" t="inlineStr">
        <is>
          <t>decimal</t>
        </is>
      </c>
      <c r="E283" s="2" t="inlineStr">
        <is>
          <t>14</t>
        </is>
      </c>
      <c r="F283" s="2" t="inlineStr"/>
      <c r="G283" s="2" t="inlineStr">
        <is>
          <t>num{zzzzzzzzzzzzzz9.99}</t>
        </is>
      </c>
      <c r="H283" s="2" t="inlineStr">
        <is>
          <t>num{zzzzzzzzzzzzzz9.99}</t>
        </is>
      </c>
      <c r="I283" s="2" t="inlineStr">
        <is>
          <t>Read-only</t>
        </is>
      </c>
      <c r="J283" s="2" t="inlineStr">
        <is>
          <t>Yes</t>
        </is>
      </c>
      <c r="K283" s="2" t="inlineStr"/>
      <c r="L283" s="2" t="inlineStr"/>
      <c r="M283" s="2" t="inlineStr"/>
    </row>
    <row r="284">
      <c r="A284" s="2" t="inlineStr">
        <is>
          <t>Page9.B148</t>
        </is>
      </c>
      <c r="B284" s="2" t="inlineStr">
        <is>
          <t>Page9</t>
        </is>
      </c>
      <c r="C284" s="2" t="inlineStr">
        <is>
          <t>numericEdit</t>
        </is>
      </c>
      <c r="D284" s="2" t="inlineStr">
        <is>
          <t>decimal</t>
        </is>
      </c>
      <c r="E284" s="2" t="inlineStr">
        <is>
          <t>14</t>
        </is>
      </c>
      <c r="F284" s="2" t="inlineStr"/>
      <c r="G284" s="2" t="inlineStr">
        <is>
          <t>num{zzzzzzzzzzzzzz9.99}</t>
        </is>
      </c>
      <c r="H284" s="2" t="inlineStr">
        <is>
          <t>num{zzzzzzzzzzzzzz9.99}</t>
        </is>
      </c>
      <c r="I284" s="2" t="inlineStr">
        <is>
          <t>Read-only</t>
        </is>
      </c>
      <c r="J284" s="2" t="inlineStr">
        <is>
          <t>Yes</t>
        </is>
      </c>
      <c r="K284" s="2" t="inlineStr"/>
      <c r="L284" s="2" t="inlineStr"/>
      <c r="M284" s="2" t="inlineStr"/>
    </row>
    <row r="285">
      <c r="A285" s="2" t="inlineStr">
        <is>
          <t>Page9.B149</t>
        </is>
      </c>
      <c r="B285" s="2" t="inlineStr">
        <is>
          <t>Page9</t>
        </is>
      </c>
      <c r="C285" s="2" t="inlineStr">
        <is>
          <t>numericEdit</t>
        </is>
      </c>
      <c r="D285" s="2" t="inlineStr">
        <is>
          <t>decimal</t>
        </is>
      </c>
      <c r="E285" s="2" t="inlineStr">
        <is>
          <t>14</t>
        </is>
      </c>
      <c r="F285" s="2" t="inlineStr"/>
      <c r="G285" s="2" t="inlineStr">
        <is>
          <t>num{zzzzzzzzzzzzzz9.99}</t>
        </is>
      </c>
      <c r="H285" s="2" t="inlineStr">
        <is>
          <t>num{zzzzzzzzzzzzzz9.99}</t>
        </is>
      </c>
      <c r="I285" s="2" t="inlineStr">
        <is>
          <t>Read-only</t>
        </is>
      </c>
      <c r="J285" s="2" t="inlineStr">
        <is>
          <t>Yes</t>
        </is>
      </c>
      <c r="K285" s="2" t="inlineStr"/>
      <c r="L285" s="2" t="inlineStr"/>
      <c r="M285" s="2" t="inlineStr"/>
    </row>
    <row r="286">
      <c r="A286" s="2" t="inlineStr">
        <is>
          <t>Page9.B150</t>
        </is>
      </c>
      <c r="B286" s="2" t="inlineStr">
        <is>
          <t>Page9</t>
        </is>
      </c>
      <c r="C286" s="2" t="inlineStr">
        <is>
          <t>numericEdit</t>
        </is>
      </c>
      <c r="D286" s="2" t="inlineStr">
        <is>
          <t>decimal</t>
        </is>
      </c>
      <c r="E286" s="2" t="inlineStr">
        <is>
          <t>14</t>
        </is>
      </c>
      <c r="F286" s="2" t="inlineStr"/>
      <c r="G286" s="2" t="inlineStr">
        <is>
          <t>num{zzzzzzzzzzzzzz9.99}</t>
        </is>
      </c>
      <c r="H286" s="2" t="inlineStr">
        <is>
          <t>num{zzzzzzzzzzzzzz9.99}</t>
        </is>
      </c>
      <c r="I286" s="2" t="inlineStr">
        <is>
          <t>Editable</t>
        </is>
      </c>
      <c r="J286" s="2" t="inlineStr"/>
      <c r="K286" s="2" t="inlineStr"/>
      <c r="L286" s="2" t="inlineStr"/>
      <c r="M286" s="2" t="inlineStr"/>
    </row>
    <row r="287">
      <c r="A287" s="2" t="inlineStr">
        <is>
          <t>Page9.B151</t>
        </is>
      </c>
      <c r="B287" s="2" t="inlineStr">
        <is>
          <t>Page9</t>
        </is>
      </c>
      <c r="C287" s="2" t="inlineStr">
        <is>
          <t>numericEdit</t>
        </is>
      </c>
      <c r="D287" s="2" t="inlineStr">
        <is>
          <t>decimal</t>
        </is>
      </c>
      <c r="E287" s="2" t="inlineStr">
        <is>
          <t>14</t>
        </is>
      </c>
      <c r="F287" s="2" t="inlineStr"/>
      <c r="G287" s="2" t="inlineStr">
        <is>
          <t>num{zzzzzzzzzzzzzz9.99}</t>
        </is>
      </c>
      <c r="H287" s="2" t="inlineStr">
        <is>
          <t>num{zzzzzzzzzzzzzz9.99}</t>
        </is>
      </c>
      <c r="I287" s="2" t="inlineStr">
        <is>
          <t>Editable</t>
        </is>
      </c>
      <c r="J287" s="2" t="inlineStr"/>
      <c r="K287" s="2" t="inlineStr"/>
      <c r="L287" s="2" t="inlineStr"/>
      <c r="M287" s="2" t="inlineStr"/>
    </row>
    <row r="288">
      <c r="A288" s="2" t="inlineStr">
        <is>
          <t>Page9.B152</t>
        </is>
      </c>
      <c r="B288" s="2" t="inlineStr">
        <is>
          <t>Page9</t>
        </is>
      </c>
      <c r="C288" s="2" t="inlineStr">
        <is>
          <t>numericEdit</t>
        </is>
      </c>
      <c r="D288" s="2" t="inlineStr">
        <is>
          <t>decimal</t>
        </is>
      </c>
      <c r="E288" s="2" t="inlineStr">
        <is>
          <t>14</t>
        </is>
      </c>
      <c r="F288" s="2" t="inlineStr"/>
      <c r="G288" s="2" t="inlineStr">
        <is>
          <t>num{zzzzzzzzzzzzzz9.99}</t>
        </is>
      </c>
      <c r="H288" s="2" t="inlineStr">
        <is>
          <t>num{zzzzzzzzzzzzzz9.99}</t>
        </is>
      </c>
      <c r="I288" s="2" t="inlineStr">
        <is>
          <t>Read-only</t>
        </is>
      </c>
      <c r="J288" s="2" t="inlineStr">
        <is>
          <t>Yes</t>
        </is>
      </c>
      <c r="K288" s="2" t="inlineStr"/>
      <c r="L288" s="2" t="inlineStr"/>
      <c r="M288" s="2" t="inlineStr"/>
    </row>
    <row r="289">
      <c r="A289" s="2" t="inlineStr">
        <is>
          <t>Page9.B153</t>
        </is>
      </c>
      <c r="B289" s="2" t="inlineStr">
        <is>
          <t>Page9</t>
        </is>
      </c>
      <c r="C289" s="2" t="inlineStr">
        <is>
          <t>numericEdit</t>
        </is>
      </c>
      <c r="D289" s="2" t="inlineStr">
        <is>
          <t>decimal</t>
        </is>
      </c>
      <c r="E289" s="2" t="inlineStr">
        <is>
          <t>14</t>
        </is>
      </c>
      <c r="F289" s="2" t="inlineStr"/>
      <c r="G289" s="2" t="inlineStr">
        <is>
          <t>num{zzzzzzzzzzzzzz9.99}</t>
        </is>
      </c>
      <c r="H289" s="2" t="inlineStr">
        <is>
          <t>num{zzzzzzzzzzzzzz9.99}</t>
        </is>
      </c>
      <c r="I289" s="2" t="inlineStr">
        <is>
          <t>Read-only</t>
        </is>
      </c>
      <c r="J289" s="2" t="inlineStr">
        <is>
          <t>Yes</t>
        </is>
      </c>
      <c r="K289" s="2" t="inlineStr"/>
      <c r="L289" s="2" t="inlineStr"/>
      <c r="M289" s="2" t="inlineStr"/>
    </row>
    <row r="290">
      <c r="A290" s="2" t="inlineStr">
        <is>
          <t>Page10.B154</t>
        </is>
      </c>
      <c r="B290" s="2" t="inlineStr">
        <is>
          <t>Page10</t>
        </is>
      </c>
      <c r="C290" s="2" t="inlineStr">
        <is>
          <t>numericEdit</t>
        </is>
      </c>
      <c r="D290" s="2" t="inlineStr">
        <is>
          <t>decimal</t>
        </is>
      </c>
      <c r="E290" s="2" t="inlineStr">
        <is>
          <t>14</t>
        </is>
      </c>
      <c r="F290" s="2" t="inlineStr"/>
      <c r="G290" s="2" t="inlineStr">
        <is>
          <t>num{zzzzzzzzzzzzzz9.99}</t>
        </is>
      </c>
      <c r="H290" s="2" t="inlineStr">
        <is>
          <t>num{zzzzzzzzzzzzzz9.99}</t>
        </is>
      </c>
      <c r="I290" s="2" t="inlineStr">
        <is>
          <t>Editable</t>
        </is>
      </c>
      <c r="J290" s="2" t="inlineStr"/>
      <c r="K290" s="2" t="inlineStr">
        <is>
          <t>Yes</t>
        </is>
      </c>
      <c r="L290" s="2" t="inlineStr"/>
      <c r="M290" s="2" t="inlineStr"/>
    </row>
    <row r="291">
      <c r="A291" s="2" t="inlineStr">
        <is>
          <t>Page10.B155</t>
        </is>
      </c>
      <c r="B291" s="2" t="inlineStr">
        <is>
          <t>Page10</t>
        </is>
      </c>
      <c r="C291" s="2" t="inlineStr">
        <is>
          <t>numericEdit</t>
        </is>
      </c>
      <c r="D291" s="2" t="inlineStr">
        <is>
          <t>decimal</t>
        </is>
      </c>
      <c r="E291" s="2" t="inlineStr">
        <is>
          <t>14</t>
        </is>
      </c>
      <c r="F291" s="2" t="inlineStr"/>
      <c r="G291" s="2" t="inlineStr">
        <is>
          <t>num{zzzzzzzzzzzzzz9.99}</t>
        </is>
      </c>
      <c r="H291" s="2" t="inlineStr">
        <is>
          <t>num{zzzzzzzzzzzzzz9.99}</t>
        </is>
      </c>
      <c r="I291" s="2" t="inlineStr">
        <is>
          <t>Read-only</t>
        </is>
      </c>
      <c r="J291" s="2" t="inlineStr">
        <is>
          <t>Yes</t>
        </is>
      </c>
      <c r="K291" s="2" t="inlineStr"/>
      <c r="L291" s="2" t="inlineStr"/>
      <c r="M291" s="2" t="inlineStr"/>
    </row>
    <row r="292">
      <c r="A292" s="2" t="inlineStr">
        <is>
          <t>Page10.B156</t>
        </is>
      </c>
      <c r="B292" s="2" t="inlineStr">
        <is>
          <t>Page10</t>
        </is>
      </c>
      <c r="C292" s="2" t="inlineStr">
        <is>
          <t>numericEdit</t>
        </is>
      </c>
      <c r="D292" s="2" t="inlineStr">
        <is>
          <t>decimal</t>
        </is>
      </c>
      <c r="E292" s="2" t="inlineStr">
        <is>
          <t>14</t>
        </is>
      </c>
      <c r="F292" s="2" t="inlineStr"/>
      <c r="G292" s="2" t="inlineStr">
        <is>
          <t>num{zzzzzzzzzzzzzz9.99}</t>
        </is>
      </c>
      <c r="H292" s="2" t="inlineStr">
        <is>
          <t>num{zzzzzzzzzzzzzz9.99}</t>
        </is>
      </c>
      <c r="I292" s="2" t="inlineStr">
        <is>
          <t>Read-only</t>
        </is>
      </c>
      <c r="J292" s="2" t="inlineStr">
        <is>
          <t>Yes</t>
        </is>
      </c>
      <c r="K292" s="2" t="inlineStr"/>
      <c r="L292" s="2" t="inlineStr"/>
      <c r="M292" s="2" t="inlineStr"/>
    </row>
    <row r="293">
      <c r="A293" s="2" t="inlineStr">
        <is>
          <t>Page10.B157</t>
        </is>
      </c>
      <c r="B293" s="2" t="inlineStr">
        <is>
          <t>Page10</t>
        </is>
      </c>
      <c r="C293" s="2" t="inlineStr">
        <is>
          <t>numericEdit</t>
        </is>
      </c>
      <c r="D293" s="2" t="inlineStr">
        <is>
          <t>decimal</t>
        </is>
      </c>
      <c r="E293" s="2" t="inlineStr">
        <is>
          <t>14</t>
        </is>
      </c>
      <c r="F293" s="2" t="inlineStr"/>
      <c r="G293" s="2" t="inlineStr">
        <is>
          <t>num{zzzzzzzzzzzzzz9.99}</t>
        </is>
      </c>
      <c r="H293" s="2" t="inlineStr">
        <is>
          <t>num{zzzzzzzzzzzzzz9.99}</t>
        </is>
      </c>
      <c r="I293" s="2" t="inlineStr">
        <is>
          <t>Read-only</t>
        </is>
      </c>
      <c r="J293" s="2" t="inlineStr">
        <is>
          <t>Yes</t>
        </is>
      </c>
      <c r="K293" s="2" t="inlineStr"/>
      <c r="L293" s="2" t="inlineStr"/>
      <c r="M293" s="2" t="inlineStr"/>
    </row>
    <row r="294">
      <c r="A294" s="2" t="inlineStr">
        <is>
          <t>Page10.B158</t>
        </is>
      </c>
      <c r="B294" s="2" t="inlineStr">
        <is>
          <t>Page10</t>
        </is>
      </c>
      <c r="C294" s="2" t="inlineStr">
        <is>
          <t>numericEdit</t>
        </is>
      </c>
      <c r="D294" s="2" t="inlineStr">
        <is>
          <t>decimal</t>
        </is>
      </c>
      <c r="E294" s="2" t="inlineStr">
        <is>
          <t>14</t>
        </is>
      </c>
      <c r="F294" s="2" t="inlineStr"/>
      <c r="G294" s="2" t="inlineStr">
        <is>
          <t>num{zzzzzzzzzzzzzz9.99}</t>
        </is>
      </c>
      <c r="H294" s="2" t="inlineStr">
        <is>
          <t>num{zzzzzzzzzzzzzz9.99}</t>
        </is>
      </c>
      <c r="I294" s="2" t="inlineStr">
        <is>
          <t>Read-only</t>
        </is>
      </c>
      <c r="J294" s="2" t="inlineStr">
        <is>
          <t>Yes</t>
        </is>
      </c>
      <c r="K294" s="2" t="inlineStr"/>
      <c r="L294" s="2" t="inlineStr"/>
      <c r="M294" s="2" t="inlineStr"/>
    </row>
    <row r="295">
      <c r="A295" s="2" t="inlineStr">
        <is>
          <t>Page10.B159</t>
        </is>
      </c>
      <c r="B295" s="2" t="inlineStr">
        <is>
          <t>Page10</t>
        </is>
      </c>
      <c r="C295" s="2" t="inlineStr">
        <is>
          <t>numericEdit</t>
        </is>
      </c>
      <c r="D295" s="2" t="inlineStr">
        <is>
          <t>decimal</t>
        </is>
      </c>
      <c r="E295" s="2" t="inlineStr">
        <is>
          <t>14</t>
        </is>
      </c>
      <c r="F295" s="2" t="inlineStr"/>
      <c r="G295" s="2" t="inlineStr"/>
      <c r="H295" s="2" t="inlineStr">
        <is>
          <t>num{zzzzzzzzzzzzzz9.99}</t>
        </is>
      </c>
      <c r="I295" s="2" t="inlineStr">
        <is>
          <t>Read-only</t>
        </is>
      </c>
      <c r="J295" s="2" t="inlineStr">
        <is>
          <t>Yes</t>
        </is>
      </c>
      <c r="K295" s="2" t="inlineStr"/>
      <c r="L295" s="2" t="inlineStr"/>
      <c r="M295" s="2" t="inlineStr"/>
    </row>
    <row r="296">
      <c r="A296" s="2" t="inlineStr">
        <is>
          <t>Page10.B160</t>
        </is>
      </c>
      <c r="B296" s="2" t="inlineStr">
        <is>
          <t>Page10</t>
        </is>
      </c>
      <c r="C296" s="2" t="inlineStr">
        <is>
          <t>numericEdit</t>
        </is>
      </c>
      <c r="D296" s="2" t="inlineStr">
        <is>
          <t>decimal</t>
        </is>
      </c>
      <c r="E296" s="2" t="inlineStr">
        <is>
          <t>14</t>
        </is>
      </c>
      <c r="F296" s="2" t="inlineStr"/>
      <c r="G296" s="2" t="inlineStr"/>
      <c r="H296" s="2" t="inlineStr">
        <is>
          <t>num{zzzzzzzzzzzzzz9.99}</t>
        </is>
      </c>
      <c r="I296" s="2" t="inlineStr">
        <is>
          <t>Read-only</t>
        </is>
      </c>
      <c r="J296" s="2" t="inlineStr">
        <is>
          <t>Yes</t>
        </is>
      </c>
      <c r="K296" s="2" t="inlineStr"/>
      <c r="L296" s="2" t="inlineStr"/>
      <c r="M296" s="2" t="inlineStr"/>
    </row>
    <row r="297">
      <c r="A297" s="2" t="inlineStr">
        <is>
          <t>Page10.B161</t>
        </is>
      </c>
      <c r="B297" s="2" t="inlineStr">
        <is>
          <t>Page10</t>
        </is>
      </c>
      <c r="C297" s="2" t="inlineStr">
        <is>
          <t>numericEdit</t>
        </is>
      </c>
      <c r="D297" s="2" t="inlineStr">
        <is>
          <t>decimal</t>
        </is>
      </c>
      <c r="E297" s="2" t="inlineStr">
        <is>
          <t>14</t>
        </is>
      </c>
      <c r="F297" s="2" t="inlineStr"/>
      <c r="G297" s="2" t="inlineStr"/>
      <c r="H297" s="2" t="inlineStr">
        <is>
          <t>num{zzzzzzzzzzzzzz9.99}</t>
        </is>
      </c>
      <c r="I297" s="2" t="inlineStr">
        <is>
          <t>Read-only</t>
        </is>
      </c>
      <c r="J297" s="2" t="inlineStr">
        <is>
          <t>Yes</t>
        </is>
      </c>
      <c r="K297" s="2" t="inlineStr"/>
      <c r="L297" s="2" t="inlineStr"/>
      <c r="M297" s="2" t="inlineStr"/>
    </row>
    <row r="298">
      <c r="A298" s="2" t="inlineStr">
        <is>
          <t>Page10.B162</t>
        </is>
      </c>
      <c r="B298" s="2" t="inlineStr">
        <is>
          <t>Page10</t>
        </is>
      </c>
      <c r="C298" s="2" t="inlineStr">
        <is>
          <t>numericEdit</t>
        </is>
      </c>
      <c r="D298" s="2" t="inlineStr">
        <is>
          <t>decimal</t>
        </is>
      </c>
      <c r="E298" s="2" t="inlineStr">
        <is>
          <t>14</t>
        </is>
      </c>
      <c r="F298" s="2" t="inlineStr"/>
      <c r="G298" s="2" t="inlineStr">
        <is>
          <t>num{zzzzzzzzzzzzzz9.99}</t>
        </is>
      </c>
      <c r="H298" s="2" t="inlineStr">
        <is>
          <t>num{zzzzzzzzzzzzzz9.99}</t>
        </is>
      </c>
      <c r="I298" s="2" t="inlineStr">
        <is>
          <t>Read-only</t>
        </is>
      </c>
      <c r="J298" s="2" t="inlineStr">
        <is>
          <t>Yes</t>
        </is>
      </c>
      <c r="K298" s="2" t="inlineStr"/>
      <c r="L298" s="2" t="inlineStr"/>
      <c r="M298" s="2" t="inlineStr"/>
    </row>
    <row r="299">
      <c r="A299" s="2" t="inlineStr">
        <is>
          <t>Page10.B163</t>
        </is>
      </c>
      <c r="B299" s="2" t="inlineStr">
        <is>
          <t>Page10</t>
        </is>
      </c>
      <c r="C299" s="2" t="inlineStr">
        <is>
          <t>numericEdit</t>
        </is>
      </c>
      <c r="D299" s="2" t="inlineStr">
        <is>
          <t>decimal</t>
        </is>
      </c>
      <c r="E299" s="2" t="inlineStr">
        <is>
          <t>14</t>
        </is>
      </c>
      <c r="F299" s="2" t="inlineStr"/>
      <c r="G299" s="2" t="inlineStr">
        <is>
          <t>num{zzzzzzzzzzzzzz9.99}</t>
        </is>
      </c>
      <c r="H299" s="2" t="inlineStr">
        <is>
          <t>num{zzzzzzzzzzzzzz9.99}</t>
        </is>
      </c>
      <c r="I299" s="2" t="inlineStr">
        <is>
          <t>Read-only</t>
        </is>
      </c>
      <c r="J299" s="2" t="inlineStr">
        <is>
          <t>Yes</t>
        </is>
      </c>
      <c r="K299" s="2" t="inlineStr"/>
      <c r="L299" s="2" t="inlineStr"/>
      <c r="M299" s="2" t="inlineStr"/>
    </row>
    <row r="300">
      <c r="A300" s="2" t="inlineStr">
        <is>
          <t>Page10.B164</t>
        </is>
      </c>
      <c r="B300" s="2" t="inlineStr">
        <is>
          <t>Page10</t>
        </is>
      </c>
      <c r="C300" s="2" t="inlineStr">
        <is>
          <t>numericEdit</t>
        </is>
      </c>
      <c r="D300" s="2" t="inlineStr">
        <is>
          <t>decimal</t>
        </is>
      </c>
      <c r="E300" s="2" t="inlineStr">
        <is>
          <t>14</t>
        </is>
      </c>
      <c r="F300" s="2" t="inlineStr"/>
      <c r="G300" s="2" t="inlineStr">
        <is>
          <t>num{zzzzzzzzzzzzzz9.99}</t>
        </is>
      </c>
      <c r="H300" s="2" t="inlineStr">
        <is>
          <t>num{zzzzzzzzzzzzzz9.99}</t>
        </is>
      </c>
      <c r="I300" s="2" t="inlineStr">
        <is>
          <t>Read-only</t>
        </is>
      </c>
      <c r="J300" s="2" t="inlineStr">
        <is>
          <t>Yes</t>
        </is>
      </c>
      <c r="K300" s="2" t="inlineStr"/>
      <c r="L300" s="2" t="inlineStr"/>
      <c r="M300" s="2" t="inlineStr"/>
    </row>
    <row r="301">
      <c r="A301" s="2" t="inlineStr">
        <is>
          <t>Page10.B165</t>
        </is>
      </c>
      <c r="B301" s="2" t="inlineStr">
        <is>
          <t>Page10</t>
        </is>
      </c>
      <c r="C301" s="2" t="inlineStr">
        <is>
          <t>numericEdit</t>
        </is>
      </c>
      <c r="D301" s="2" t="inlineStr">
        <is>
          <t>decimal</t>
        </is>
      </c>
      <c r="E301" s="2" t="inlineStr">
        <is>
          <t>14</t>
        </is>
      </c>
      <c r="F301" s="2" t="inlineStr"/>
      <c r="G301" s="2" t="inlineStr">
        <is>
          <t>num{zzzzzzzzzzzzzz9.99}</t>
        </is>
      </c>
      <c r="H301" s="2" t="inlineStr">
        <is>
          <t>num{zzzzzzzzzzzzzz9.99}</t>
        </is>
      </c>
      <c r="I301" s="2" t="inlineStr">
        <is>
          <t>Read-only</t>
        </is>
      </c>
      <c r="J301" s="2" t="inlineStr">
        <is>
          <t>Yes</t>
        </is>
      </c>
      <c r="K301" s="2" t="inlineStr"/>
      <c r="L301" s="2" t="inlineStr"/>
      <c r="M301" s="2" t="inlineStr"/>
    </row>
    <row r="302">
      <c r="A302" s="2" t="inlineStr">
        <is>
          <t>Page10.BS5</t>
        </is>
      </c>
      <c r="B302" s="2" t="inlineStr">
        <is>
          <t>Page10</t>
        </is>
      </c>
      <c r="C302" s="2" t="inlineStr">
        <is>
          <t>numericEdit</t>
        </is>
      </c>
      <c r="D302" s="2" t="inlineStr">
        <is>
          <t>decimal</t>
        </is>
      </c>
      <c r="E302" s="2" t="inlineStr">
        <is>
          <t>14</t>
        </is>
      </c>
      <c r="F302" s="2" t="inlineStr"/>
      <c r="G302" s="2" t="inlineStr">
        <is>
          <t>num{zzzzzzzzzzzzzz9.99}</t>
        </is>
      </c>
      <c r="H302" s="2" t="inlineStr">
        <is>
          <t>num{zzzzzzzzzzzzzz9.99}</t>
        </is>
      </c>
      <c r="I302" s="2" t="inlineStr">
        <is>
          <t>Read-only</t>
        </is>
      </c>
      <c r="J302" s="2" t="inlineStr">
        <is>
          <t>Yes</t>
        </is>
      </c>
      <c r="K302" s="2" t="inlineStr"/>
      <c r="L302" s="2" t="inlineStr"/>
      <c r="M302" s="2" t="inlineStr"/>
    </row>
    <row r="303">
      <c r="A303" s="2" t="inlineStr">
        <is>
          <t>Page10.BS6</t>
        </is>
      </c>
      <c r="B303" s="2" t="inlineStr">
        <is>
          <t>Page10</t>
        </is>
      </c>
      <c r="C303" s="2" t="inlineStr">
        <is>
          <t>numericEdit</t>
        </is>
      </c>
      <c r="D303" s="2" t="inlineStr">
        <is>
          <t>decimal</t>
        </is>
      </c>
      <c r="E303" s="2" t="inlineStr">
        <is>
          <t>14</t>
        </is>
      </c>
      <c r="F303" s="2" t="inlineStr"/>
      <c r="G303" s="2" t="inlineStr"/>
      <c r="H303" s="2" t="inlineStr">
        <is>
          <t>num{zzzzzzzzzzzzzz9.99}</t>
        </is>
      </c>
      <c r="I303" s="2" t="inlineStr">
        <is>
          <t>Read-only</t>
        </is>
      </c>
      <c r="J303" s="2" t="inlineStr">
        <is>
          <t>Yes</t>
        </is>
      </c>
      <c r="K303" s="2" t="inlineStr"/>
      <c r="L303" s="2" t="inlineStr"/>
      <c r="M303" s="2" t="inlineStr"/>
    </row>
    <row r="304">
      <c r="A304" s="2" t="inlineStr">
        <is>
          <t>Page10.BS7</t>
        </is>
      </c>
      <c r="B304" s="2" t="inlineStr">
        <is>
          <t>Page10</t>
        </is>
      </c>
      <c r="C304" s="2" t="inlineStr">
        <is>
          <t>numericEdit</t>
        </is>
      </c>
      <c r="D304" s="2" t="inlineStr">
        <is>
          <t>decimal</t>
        </is>
      </c>
      <c r="E304" s="2" t="inlineStr">
        <is>
          <t>14</t>
        </is>
      </c>
      <c r="F304" s="2" t="inlineStr"/>
      <c r="G304" s="2" t="inlineStr"/>
      <c r="H304" s="2" t="inlineStr">
        <is>
          <t>num{zzzzzzzzzzzzzz9.99}</t>
        </is>
      </c>
      <c r="I304" s="2" t="inlineStr">
        <is>
          <t>Read-only</t>
        </is>
      </c>
      <c r="J304" s="2" t="inlineStr">
        <is>
          <t>Yes</t>
        </is>
      </c>
      <c r="K304" s="2" t="inlineStr"/>
      <c r="L304" s="2" t="inlineStr"/>
      <c r="M304" s="2" t="inlineStr"/>
    </row>
    <row r="305">
      <c r="A305" s="2" t="inlineStr">
        <is>
          <t>Page10.BS8</t>
        </is>
      </c>
      <c r="B305" s="2" t="inlineStr">
        <is>
          <t>Page10</t>
        </is>
      </c>
      <c r="C305" s="2" t="inlineStr">
        <is>
          <t>numericEdit</t>
        </is>
      </c>
      <c r="D305" s="2" t="inlineStr">
        <is>
          <t>decimal</t>
        </is>
      </c>
      <c r="E305" s="2" t="inlineStr">
        <is>
          <t>14</t>
        </is>
      </c>
      <c r="F305" s="2" t="inlineStr"/>
      <c r="G305" s="2" t="inlineStr"/>
      <c r="H305" s="2" t="inlineStr">
        <is>
          <t>num{zzzzzzzzzzzzzz9.99}</t>
        </is>
      </c>
      <c r="I305" s="2" t="inlineStr">
        <is>
          <t>Read-only</t>
        </is>
      </c>
      <c r="J305" s="2" t="inlineStr">
        <is>
          <t>Yes</t>
        </is>
      </c>
      <c r="K305" s="2" t="inlineStr"/>
      <c r="L305" s="2" t="inlineStr"/>
      <c r="M305" s="2" t="inlineStr"/>
    </row>
    <row r="306">
      <c r="A306" s="2" t="inlineStr">
        <is>
          <t>Page10.B166</t>
        </is>
      </c>
      <c r="B306" s="2" t="inlineStr">
        <is>
          <t>Page10</t>
        </is>
      </c>
      <c r="C306" s="2" t="inlineStr">
        <is>
          <t>numericEdit</t>
        </is>
      </c>
      <c r="D306" s="2" t="inlineStr">
        <is>
          <t>decimal</t>
        </is>
      </c>
      <c r="E306" s="2" t="inlineStr">
        <is>
          <t>14</t>
        </is>
      </c>
      <c r="F306" s="2" t="inlineStr"/>
      <c r="G306" s="2" t="inlineStr">
        <is>
          <t>num{zzzzzzzzzzzzzz9.99}</t>
        </is>
      </c>
      <c r="H306" s="2" t="inlineStr">
        <is>
          <t>num{zzzzzzzzzzzzzz9.99}</t>
        </is>
      </c>
      <c r="I306" s="2" t="inlineStr">
        <is>
          <t>Read-only</t>
        </is>
      </c>
      <c r="J306" s="2" t="inlineStr">
        <is>
          <t>Yes</t>
        </is>
      </c>
      <c r="K306" s="2" t="inlineStr"/>
      <c r="L306" s="2" t="inlineStr"/>
      <c r="M306" s="2" t="inlineStr"/>
    </row>
    <row r="307">
      <c r="A307" s="2" t="inlineStr">
        <is>
          <t>Page10.B167</t>
        </is>
      </c>
      <c r="B307" s="2" t="inlineStr">
        <is>
          <t>Page10</t>
        </is>
      </c>
      <c r="C307" s="2" t="inlineStr">
        <is>
          <t>numericEdit</t>
        </is>
      </c>
      <c r="D307" s="2" t="inlineStr">
        <is>
          <t>decimal</t>
        </is>
      </c>
      <c r="E307" s="2" t="inlineStr">
        <is>
          <t>14</t>
        </is>
      </c>
      <c r="F307" s="2" t="inlineStr"/>
      <c r="G307" s="2" t="inlineStr">
        <is>
          <t>num{zzzzzzzzzzzzzz9.99}</t>
        </is>
      </c>
      <c r="H307" s="2" t="inlineStr">
        <is>
          <t>num{zzzzzzzzzzzzzz9.99}</t>
        </is>
      </c>
      <c r="I307" s="2" t="inlineStr">
        <is>
          <t>Read-only</t>
        </is>
      </c>
      <c r="J307" s="2" t="inlineStr">
        <is>
          <t>Yes</t>
        </is>
      </c>
      <c r="K307" s="2" t="inlineStr"/>
      <c r="L307" s="2" t="inlineStr"/>
      <c r="M307" s="2" t="inlineStr"/>
    </row>
    <row r="308">
      <c r="A308" s="2" t="inlineStr">
        <is>
          <t>Page10.B168</t>
        </is>
      </c>
      <c r="B308" s="2" t="inlineStr">
        <is>
          <t>Page10</t>
        </is>
      </c>
      <c r="C308" s="2" t="inlineStr">
        <is>
          <t>numericEdit</t>
        </is>
      </c>
      <c r="D308" s="2" t="inlineStr">
        <is>
          <t>decimal</t>
        </is>
      </c>
      <c r="E308" s="2" t="inlineStr">
        <is>
          <t>14</t>
        </is>
      </c>
      <c r="F308" s="2" t="inlineStr"/>
      <c r="G308" s="2" t="inlineStr">
        <is>
          <t>num{zzzzzzzzzzzzzz9.99}</t>
        </is>
      </c>
      <c r="H308" s="2" t="inlineStr">
        <is>
          <t>num{zzzzzzzzzzzzzz9.99}</t>
        </is>
      </c>
      <c r="I308" s="2" t="inlineStr">
        <is>
          <t>Read-only</t>
        </is>
      </c>
      <c r="J308" s="2" t="inlineStr">
        <is>
          <t>Yes</t>
        </is>
      </c>
      <c r="K308" s="2" t="inlineStr"/>
      <c r="L308" s="2" t="inlineStr"/>
      <c r="M308" s="2" t="inlineStr"/>
    </row>
    <row r="309">
      <c r="A309" s="2" t="inlineStr">
        <is>
          <t>Page10.B169</t>
        </is>
      </c>
      <c r="B309" s="2" t="inlineStr">
        <is>
          <t>Page10</t>
        </is>
      </c>
      <c r="C309" s="2" t="inlineStr">
        <is>
          <t>numericEdit</t>
        </is>
      </c>
      <c r="D309" s="2" t="inlineStr">
        <is>
          <t>decimal</t>
        </is>
      </c>
      <c r="E309" s="2" t="inlineStr">
        <is>
          <t>14</t>
        </is>
      </c>
      <c r="F309" s="2" t="inlineStr"/>
      <c r="G309" s="2" t="inlineStr">
        <is>
          <t>num{zzzzzzzzzzzzzz9.99}</t>
        </is>
      </c>
      <c r="H309" s="2" t="inlineStr">
        <is>
          <t>num{zzzzzzzzzzzzzz9.99}</t>
        </is>
      </c>
      <c r="I309" s="2" t="inlineStr">
        <is>
          <t>Read-only</t>
        </is>
      </c>
      <c r="J309" s="2" t="inlineStr">
        <is>
          <t>Yes</t>
        </is>
      </c>
      <c r="K309" s="2" t="inlineStr"/>
      <c r="L309" s="2" t="inlineStr"/>
      <c r="M309" s="2" t="inlineStr"/>
    </row>
    <row r="310">
      <c r="A310" s="2" t="inlineStr">
        <is>
          <t>Page10.B170</t>
        </is>
      </c>
      <c r="B310" s="2" t="inlineStr">
        <is>
          <t>Page10</t>
        </is>
      </c>
      <c r="C310" s="2" t="inlineStr">
        <is>
          <t>numericEdit</t>
        </is>
      </c>
      <c r="D310" s="2" t="inlineStr">
        <is>
          <t>decimal</t>
        </is>
      </c>
      <c r="E310" s="2" t="inlineStr">
        <is>
          <t>14</t>
        </is>
      </c>
      <c r="F310" s="2" t="inlineStr"/>
      <c r="G310" s="2" t="inlineStr">
        <is>
          <t>num{zzzzzzzzzzzzzz9.99}</t>
        </is>
      </c>
      <c r="H310" s="2" t="inlineStr">
        <is>
          <t>num{zzzzzzzzzzzzzz9.99}</t>
        </is>
      </c>
      <c r="I310" s="2" t="inlineStr">
        <is>
          <t>Read-only</t>
        </is>
      </c>
      <c r="J310" s="2" t="inlineStr">
        <is>
          <t>Yes</t>
        </is>
      </c>
      <c r="K310" s="2" t="inlineStr"/>
      <c r="L310" s="2" t="inlineStr"/>
      <c r="M310" s="2" t="inlineStr"/>
    </row>
    <row r="311">
      <c r="A311" s="2" t="inlineStr">
        <is>
          <t>Page10.B171</t>
        </is>
      </c>
      <c r="B311" s="2" t="inlineStr">
        <is>
          <t>Page10</t>
        </is>
      </c>
      <c r="C311" s="2" t="inlineStr">
        <is>
          <t>numericEdit</t>
        </is>
      </c>
      <c r="D311" s="2" t="inlineStr">
        <is>
          <t>decimal</t>
        </is>
      </c>
      <c r="E311" s="2" t="inlineStr">
        <is>
          <t>14</t>
        </is>
      </c>
      <c r="F311" s="2" t="inlineStr"/>
      <c r="G311" s="2" t="inlineStr">
        <is>
          <t>num{zzzzzzzzzzzzzz9.99}</t>
        </is>
      </c>
      <c r="H311" s="2" t="inlineStr">
        <is>
          <t>num{zzzzzzzzzzzzzz9.99}</t>
        </is>
      </c>
      <c r="I311" s="2" t="inlineStr">
        <is>
          <t>Read-only</t>
        </is>
      </c>
      <c r="J311" s="2" t="inlineStr">
        <is>
          <t>Yes</t>
        </is>
      </c>
      <c r="K311" s="2" t="inlineStr"/>
      <c r="L311" s="2" t="inlineStr"/>
      <c r="M311" s="2" t="inlineStr"/>
    </row>
    <row r="312">
      <c r="A312" s="2" t="inlineStr">
        <is>
          <t>Page10.B172</t>
        </is>
      </c>
      <c r="B312" s="2" t="inlineStr">
        <is>
          <t>Page10</t>
        </is>
      </c>
      <c r="C312" s="2" t="inlineStr">
        <is>
          <t>numericEdit</t>
        </is>
      </c>
      <c r="D312" s="2" t="inlineStr">
        <is>
          <t>decimal</t>
        </is>
      </c>
      <c r="E312" s="2" t="inlineStr">
        <is>
          <t>14</t>
        </is>
      </c>
      <c r="F312" s="2" t="inlineStr"/>
      <c r="G312" s="2" t="inlineStr">
        <is>
          <t>num{zzzzzzzzzzzzzz9.99}</t>
        </is>
      </c>
      <c r="H312" s="2" t="inlineStr">
        <is>
          <t>num{zzzzzzzzzzzzzz9.99}</t>
        </is>
      </c>
      <c r="I312" s="2" t="inlineStr">
        <is>
          <t>Read-only</t>
        </is>
      </c>
      <c r="J312" s="2" t="inlineStr">
        <is>
          <t>Yes</t>
        </is>
      </c>
      <c r="K312" s="2" t="inlineStr"/>
      <c r="L312" s="2" t="inlineStr"/>
      <c r="M312" s="2" t="inlineStr"/>
    </row>
    <row r="313">
      <c r="A313" s="2" t="inlineStr">
        <is>
          <t>Page10.B173</t>
        </is>
      </c>
      <c r="B313" s="2" t="inlineStr">
        <is>
          <t>Page10</t>
        </is>
      </c>
      <c r="C313" s="2" t="inlineStr">
        <is>
          <t>numericEdit</t>
        </is>
      </c>
      <c r="D313" s="2" t="inlineStr">
        <is>
          <t>decimal</t>
        </is>
      </c>
      <c r="E313" s="2" t="inlineStr">
        <is>
          <t>14</t>
        </is>
      </c>
      <c r="F313" s="2" t="inlineStr"/>
      <c r="G313" s="2" t="inlineStr">
        <is>
          <t>num{zzzzzzzzzzzzzz9.99}</t>
        </is>
      </c>
      <c r="H313" s="2" t="inlineStr">
        <is>
          <t>num{zzzzzzzzzzzzzz9.99}</t>
        </is>
      </c>
      <c r="I313" s="2" t="inlineStr">
        <is>
          <t>Read-only</t>
        </is>
      </c>
      <c r="J313" s="2" t="inlineStr">
        <is>
          <t>Yes</t>
        </is>
      </c>
      <c r="K313" s="2" t="inlineStr"/>
      <c r="L313" s="2" t="inlineStr"/>
      <c r="M313" s="2" t="inlineStr"/>
    </row>
    <row r="314">
      <c r="A314" s="2" t="inlineStr">
        <is>
          <t>Page10.B174</t>
        </is>
      </c>
      <c r="B314" s="2" t="inlineStr">
        <is>
          <t>Page10</t>
        </is>
      </c>
      <c r="C314" s="2" t="inlineStr">
        <is>
          <t>numericEdit</t>
        </is>
      </c>
      <c r="D314" s="2" t="inlineStr">
        <is>
          <t>decimal</t>
        </is>
      </c>
      <c r="E314" s="2" t="inlineStr">
        <is>
          <t>14</t>
        </is>
      </c>
      <c r="F314" s="2" t="inlineStr"/>
      <c r="G314" s="2" t="inlineStr"/>
      <c r="H314" s="2" t="inlineStr">
        <is>
          <t>num{zzzzzzzzzzzzzz9.99}</t>
        </is>
      </c>
      <c r="I314" s="2" t="inlineStr">
        <is>
          <t>Read-only</t>
        </is>
      </c>
      <c r="J314" s="2" t="inlineStr">
        <is>
          <t>Yes</t>
        </is>
      </c>
      <c r="K314" s="2" t="inlineStr">
        <is>
          <t>Yes</t>
        </is>
      </c>
      <c r="L314" s="2" t="inlineStr"/>
      <c r="M314" s="2" t="inlineStr"/>
    </row>
    <row r="315">
      <c r="A315" s="2" t="inlineStr">
        <is>
          <t>Page10.B175</t>
        </is>
      </c>
      <c r="B315" s="2" t="inlineStr">
        <is>
          <t>Page10</t>
        </is>
      </c>
      <c r="C315" s="2" t="inlineStr">
        <is>
          <t>numericEdit</t>
        </is>
      </c>
      <c r="D315" s="2" t="inlineStr">
        <is>
          <t>decimal</t>
        </is>
      </c>
      <c r="E315" s="2" t="inlineStr">
        <is>
          <t>14</t>
        </is>
      </c>
      <c r="F315" s="2" t="inlineStr"/>
      <c r="G315" s="2" t="inlineStr">
        <is>
          <t>num{zzzzzzzzzzzzzz9.99}</t>
        </is>
      </c>
      <c r="H315" s="2" t="inlineStr">
        <is>
          <t>num{zzzzzzzzzzzzzz9.99}</t>
        </is>
      </c>
      <c r="I315" s="2" t="inlineStr">
        <is>
          <t>Read-only</t>
        </is>
      </c>
      <c r="J315" s="2" t="inlineStr">
        <is>
          <t>Yes</t>
        </is>
      </c>
      <c r="K315" s="2" t="inlineStr"/>
      <c r="L315" s="2" t="inlineStr"/>
      <c r="M315" s="2" t="inlineStr"/>
    </row>
    <row r="316">
      <c r="A316" s="2" t="inlineStr">
        <is>
          <t>Page10.B176</t>
        </is>
      </c>
      <c r="B316" s="2" t="inlineStr">
        <is>
          <t>Page10</t>
        </is>
      </c>
      <c r="C316" s="2" t="inlineStr">
        <is>
          <t>numericEdit</t>
        </is>
      </c>
      <c r="D316" s="2" t="inlineStr">
        <is>
          <t>decimal</t>
        </is>
      </c>
      <c r="E316" s="2" t="inlineStr">
        <is>
          <t>14</t>
        </is>
      </c>
      <c r="F316" s="2" t="inlineStr"/>
      <c r="G316" s="2" t="inlineStr">
        <is>
          <t>num{zzzzzzzzzzzzzz9.99}</t>
        </is>
      </c>
      <c r="H316" s="2" t="inlineStr">
        <is>
          <t>num{zzzzzzzzzzzzzz9.99}</t>
        </is>
      </c>
      <c r="I316" s="2" t="inlineStr">
        <is>
          <t>Read-only</t>
        </is>
      </c>
      <c r="J316" s="2" t="inlineStr">
        <is>
          <t>Yes</t>
        </is>
      </c>
      <c r="K316" s="2" t="inlineStr"/>
      <c r="L316" s="2" t="inlineStr"/>
      <c r="M316" s="2" t="inlineStr"/>
    </row>
    <row r="317">
      <c r="A317" s="2" t="inlineStr">
        <is>
          <t>Page10.B177</t>
        </is>
      </c>
      <c r="B317" s="2" t="inlineStr">
        <is>
          <t>Page10</t>
        </is>
      </c>
      <c r="C317" s="2" t="inlineStr">
        <is>
          <t>numericEdit</t>
        </is>
      </c>
      <c r="D317" s="2" t="inlineStr">
        <is>
          <t>decimal</t>
        </is>
      </c>
      <c r="E317" s="2" t="inlineStr">
        <is>
          <t>14</t>
        </is>
      </c>
      <c r="F317" s="2" t="inlineStr"/>
      <c r="G317" s="2" t="inlineStr">
        <is>
          <t>num{zzzzzzzzzzzzzz9.99}</t>
        </is>
      </c>
      <c r="H317" s="2" t="inlineStr">
        <is>
          <t>num{zzzzzzzzzzzzzz9.99}</t>
        </is>
      </c>
      <c r="I317" s="2" t="inlineStr">
        <is>
          <t>Read-only</t>
        </is>
      </c>
      <c r="J317" s="2" t="inlineStr">
        <is>
          <t>Yes</t>
        </is>
      </c>
      <c r="K317" s="2" t="inlineStr"/>
      <c r="L317" s="2" t="inlineStr"/>
      <c r="M317" s="2" t="inlineStr"/>
    </row>
    <row r="318">
      <c r="A318" s="2" t="inlineStr">
        <is>
          <t>Page10.B178</t>
        </is>
      </c>
      <c r="B318" s="2" t="inlineStr">
        <is>
          <t>Page10</t>
        </is>
      </c>
      <c r="C318" s="2" t="inlineStr">
        <is>
          <t>numericEdit</t>
        </is>
      </c>
      <c r="D318" s="2" t="inlineStr">
        <is>
          <t>decimal</t>
        </is>
      </c>
      <c r="E318" s="2" t="inlineStr">
        <is>
          <t>14</t>
        </is>
      </c>
      <c r="F318" s="2" t="inlineStr"/>
      <c r="G318" s="2" t="inlineStr">
        <is>
          <t>num{zzzzzzzzzzzzzz9.99}</t>
        </is>
      </c>
      <c r="H318" s="2" t="inlineStr">
        <is>
          <t>num{zzzzzzzzzzzzzz9.99}</t>
        </is>
      </c>
      <c r="I318" s="2" t="inlineStr">
        <is>
          <t>Read-only</t>
        </is>
      </c>
      <c r="J318" s="2" t="inlineStr">
        <is>
          <t>Yes</t>
        </is>
      </c>
      <c r="K318" s="2" t="inlineStr"/>
      <c r="L318" s="2" t="inlineStr"/>
      <c r="M318" s="2" t="inlineStr"/>
    </row>
    <row r="319">
      <c r="A319" s="2" t="inlineStr">
        <is>
          <t>Page10.B179</t>
        </is>
      </c>
      <c r="B319" s="2" t="inlineStr">
        <is>
          <t>Page10</t>
        </is>
      </c>
      <c r="C319" s="2" t="inlineStr">
        <is>
          <t>numericEdit</t>
        </is>
      </c>
      <c r="D319" s="2" t="inlineStr">
        <is>
          <t>decimal</t>
        </is>
      </c>
      <c r="E319" s="2" t="inlineStr">
        <is>
          <t>14</t>
        </is>
      </c>
      <c r="F319" s="2" t="inlineStr"/>
      <c r="G319" s="2" t="inlineStr">
        <is>
          <t>num{zzzzzzzzzzzzzz9.99}</t>
        </is>
      </c>
      <c r="H319" s="2" t="inlineStr">
        <is>
          <t>num{zzzzzzzzzzzzzz9.99}</t>
        </is>
      </c>
      <c r="I319" s="2" t="inlineStr">
        <is>
          <t>Editable</t>
        </is>
      </c>
      <c r="J319" s="2" t="inlineStr"/>
      <c r="K319" s="2" t="inlineStr"/>
      <c r="L319" s="2" t="inlineStr"/>
      <c r="M319" s="2" t="inlineStr"/>
    </row>
    <row r="320">
      <c r="A320" s="2" t="inlineStr">
        <is>
          <t>Page10.B180</t>
        </is>
      </c>
      <c r="B320" s="2" t="inlineStr">
        <is>
          <t>Page10</t>
        </is>
      </c>
      <c r="C320" s="2" t="inlineStr">
        <is>
          <t>numericEdit</t>
        </is>
      </c>
      <c r="D320" s="2" t="inlineStr">
        <is>
          <t>decimal</t>
        </is>
      </c>
      <c r="E320" s="2" t="inlineStr">
        <is>
          <t>14</t>
        </is>
      </c>
      <c r="F320" s="2" t="inlineStr"/>
      <c r="G320" s="2" t="inlineStr">
        <is>
          <t>num{zzzzzzzzzzzzzz9.99}</t>
        </is>
      </c>
      <c r="H320" s="2" t="inlineStr">
        <is>
          <t>num{zzzzzzzzzzzzzz9.99}</t>
        </is>
      </c>
      <c r="I320" s="2" t="inlineStr">
        <is>
          <t>Read-only</t>
        </is>
      </c>
      <c r="J320" s="2" t="inlineStr">
        <is>
          <t>Yes</t>
        </is>
      </c>
      <c r="K320" s="2" t="inlineStr"/>
      <c r="L320" s="2" t="inlineStr"/>
      <c r="M320" s="2" t="inlineStr"/>
    </row>
    <row r="321">
      <c r="A321" s="2" t="inlineStr">
        <is>
          <t>Page10.B181</t>
        </is>
      </c>
      <c r="B321" s="2" t="inlineStr">
        <is>
          <t>Page10</t>
        </is>
      </c>
      <c r="C321" s="2" t="inlineStr">
        <is>
          <t>numericEdit</t>
        </is>
      </c>
      <c r="D321" s="2" t="inlineStr">
        <is>
          <t>decimal</t>
        </is>
      </c>
      <c r="E321" s="2" t="inlineStr">
        <is>
          <t>14</t>
        </is>
      </c>
      <c r="F321" s="2" t="inlineStr"/>
      <c r="G321" s="2" t="inlineStr">
        <is>
          <t>num{zzzzzzzzzzzzzz9.99}</t>
        </is>
      </c>
      <c r="H321" s="2" t="inlineStr">
        <is>
          <t>num{zzzzzzzzzzzzzz9.99}</t>
        </is>
      </c>
      <c r="I321" s="2" t="inlineStr">
        <is>
          <t>Read-only</t>
        </is>
      </c>
      <c r="J321" s="2" t="inlineStr">
        <is>
          <t>Yes</t>
        </is>
      </c>
      <c r="K321" s="2" t="inlineStr"/>
      <c r="L321" s="2" t="inlineStr"/>
      <c r="M321" s="2" t="inlineStr"/>
    </row>
    <row r="322">
      <c r="A322" s="2" t="inlineStr">
        <is>
          <t>Page10.B182</t>
        </is>
      </c>
      <c r="B322" s="2" t="inlineStr">
        <is>
          <t>Page10</t>
        </is>
      </c>
      <c r="C322" s="2" t="inlineStr">
        <is>
          <t>numericEdit</t>
        </is>
      </c>
      <c r="D322" s="2" t="inlineStr">
        <is>
          <t>decimal</t>
        </is>
      </c>
      <c r="E322" s="2" t="inlineStr">
        <is>
          <t>14</t>
        </is>
      </c>
      <c r="F322" s="2" t="inlineStr"/>
      <c r="G322" s="2" t="inlineStr">
        <is>
          <t>num{zzzzzzzzzzzzzz9.99}</t>
        </is>
      </c>
      <c r="H322" s="2" t="inlineStr">
        <is>
          <t>num{zzzzzzzzzzzzzz9.99}</t>
        </is>
      </c>
      <c r="I322" s="2" t="inlineStr">
        <is>
          <t>Read-only</t>
        </is>
      </c>
      <c r="J322" s="2" t="inlineStr">
        <is>
          <t>Yes</t>
        </is>
      </c>
      <c r="K322" s="2" t="inlineStr"/>
      <c r="L322" s="2" t="inlineStr"/>
      <c r="M322" s="2" t="inlineStr"/>
    </row>
    <row r="323">
      <c r="A323" s="2" t="inlineStr">
        <is>
          <t>Page10.B183</t>
        </is>
      </c>
      <c r="B323" s="2" t="inlineStr">
        <is>
          <t>Page10</t>
        </is>
      </c>
      <c r="C323" s="2" t="inlineStr">
        <is>
          <t>numericEdit</t>
        </is>
      </c>
      <c r="D323" s="2" t="inlineStr">
        <is>
          <t>decimal</t>
        </is>
      </c>
      <c r="E323" s="2" t="inlineStr">
        <is>
          <t>14</t>
        </is>
      </c>
      <c r="F323" s="2" t="inlineStr"/>
      <c r="G323" s="2" t="inlineStr">
        <is>
          <t>num{zzzzzzzzzzzzzz9.99}</t>
        </is>
      </c>
      <c r="H323" s="2" t="inlineStr">
        <is>
          <t>num{zzzzzzzzzzzzzz9.99}</t>
        </is>
      </c>
      <c r="I323" s="2" t="inlineStr">
        <is>
          <t>Read-only</t>
        </is>
      </c>
      <c r="J323" s="2" t="inlineStr">
        <is>
          <t>Yes</t>
        </is>
      </c>
      <c r="K323" s="2" t="inlineStr"/>
      <c r="L323" s="2" t="inlineStr"/>
      <c r="M323" s="2" t="inlineStr"/>
    </row>
    <row r="324">
      <c r="A324" s="2" t="inlineStr">
        <is>
          <t>Page10.B184</t>
        </is>
      </c>
      <c r="B324" s="2" t="inlineStr">
        <is>
          <t>Page10</t>
        </is>
      </c>
      <c r="C324" s="2" t="inlineStr">
        <is>
          <t>numericEdit</t>
        </is>
      </c>
      <c r="D324" s="2" t="inlineStr">
        <is>
          <t>decimal</t>
        </is>
      </c>
      <c r="E324" s="2" t="inlineStr">
        <is>
          <t>14</t>
        </is>
      </c>
      <c r="F324" s="2" t="inlineStr"/>
      <c r="G324" s="2" t="inlineStr">
        <is>
          <t>num{zzzzzzzzzzzzzz9.99}</t>
        </is>
      </c>
      <c r="H324" s="2" t="inlineStr">
        <is>
          <t>num{zzzzzzzzzzzzzz9.99}</t>
        </is>
      </c>
      <c r="I324" s="2" t="inlineStr">
        <is>
          <t>Read-only</t>
        </is>
      </c>
      <c r="J324" s="2" t="inlineStr">
        <is>
          <t>Yes</t>
        </is>
      </c>
      <c r="K324" s="2" t="inlineStr"/>
      <c r="L324" s="2" t="inlineStr"/>
      <c r="M324" s="2" t="inlineStr"/>
    </row>
    <row r="325">
      <c r="A325" s="2" t="inlineStr">
        <is>
          <t>Page10.B185</t>
        </is>
      </c>
      <c r="B325" s="2" t="inlineStr">
        <is>
          <t>Page10</t>
        </is>
      </c>
      <c r="C325" s="2" t="inlineStr">
        <is>
          <t>numericEdit</t>
        </is>
      </c>
      <c r="D325" s="2" t="inlineStr">
        <is>
          <t>decimal</t>
        </is>
      </c>
      <c r="E325" s="2" t="inlineStr">
        <is>
          <t>14</t>
        </is>
      </c>
      <c r="F325" s="2" t="inlineStr"/>
      <c r="G325" s="2" t="inlineStr">
        <is>
          <t>num{zzzzzzzzzzzzzz9.99}</t>
        </is>
      </c>
      <c r="H325" s="2" t="inlineStr">
        <is>
          <t>num{zzzzzzzzzzzzzz9.99}</t>
        </is>
      </c>
      <c r="I325" s="2" t="inlineStr">
        <is>
          <t>Editable</t>
        </is>
      </c>
      <c r="J325" s="2" t="inlineStr"/>
      <c r="K325" s="2" t="inlineStr"/>
      <c r="L325" s="2" t="inlineStr"/>
      <c r="M325" s="2" t="inlineStr"/>
    </row>
    <row r="326">
      <c r="A326" s="2" t="inlineStr">
        <is>
          <t>Page10.B186</t>
        </is>
      </c>
      <c r="B326" s="2" t="inlineStr">
        <is>
          <t>Page10</t>
        </is>
      </c>
      <c r="C326" s="2" t="inlineStr">
        <is>
          <t>numericEdit</t>
        </is>
      </c>
      <c r="D326" s="2" t="inlineStr">
        <is>
          <t>decimal</t>
        </is>
      </c>
      <c r="E326" s="2" t="inlineStr">
        <is>
          <t>14</t>
        </is>
      </c>
      <c r="F326" s="2" t="inlineStr"/>
      <c r="G326" s="2" t="inlineStr">
        <is>
          <t>num{zzzzzzzzzzzzzz9.99}</t>
        </is>
      </c>
      <c r="H326" s="2" t="inlineStr">
        <is>
          <t>num{zzzzzzzzzzzzzz9.99}</t>
        </is>
      </c>
      <c r="I326" s="2" t="inlineStr">
        <is>
          <t>Read-only</t>
        </is>
      </c>
      <c r="J326" s="2" t="inlineStr">
        <is>
          <t>Yes</t>
        </is>
      </c>
      <c r="K326" s="2" t="inlineStr"/>
      <c r="L326" s="2" t="inlineStr"/>
      <c r="M326" s="2" t="inlineStr"/>
    </row>
    <row r="327">
      <c r="A327" s="2" t="inlineStr">
        <is>
          <t>Page11.C188</t>
        </is>
      </c>
      <c r="B327" s="2" t="inlineStr">
        <is>
          <t>Page11</t>
        </is>
      </c>
      <c r="C327" s="2" t="inlineStr">
        <is>
          <t>numericEdit</t>
        </is>
      </c>
      <c r="D327" s="2" t="inlineStr">
        <is>
          <t>decimal</t>
        </is>
      </c>
      <c r="E327" s="2" t="inlineStr">
        <is>
          <t>14</t>
        </is>
      </c>
      <c r="F327" s="2" t="inlineStr"/>
      <c r="G327" s="2" t="inlineStr">
        <is>
          <t>num{zzzzzzzzzzzzzz9.99}</t>
        </is>
      </c>
      <c r="H327" s="2" t="inlineStr">
        <is>
          <t>num{zzzzzzzzzzzzzz9.99}</t>
        </is>
      </c>
      <c r="I327" s="2" t="inlineStr">
        <is>
          <t>Read-only</t>
        </is>
      </c>
      <c r="J327" s="2" t="inlineStr">
        <is>
          <t>Yes</t>
        </is>
      </c>
      <c r="K327" s="2" t="inlineStr"/>
      <c r="L327" s="2" t="inlineStr"/>
      <c r="M327" s="2" t="inlineStr"/>
    </row>
    <row r="328">
      <c r="A328" s="2" t="inlineStr">
        <is>
          <t>Page11.C189</t>
        </is>
      </c>
      <c r="B328" s="2" t="inlineStr">
        <is>
          <t>Page11</t>
        </is>
      </c>
      <c r="C328" s="2" t="inlineStr">
        <is>
          <t>numericEdit</t>
        </is>
      </c>
      <c r="D328" s="2" t="inlineStr">
        <is>
          <t>decimal</t>
        </is>
      </c>
      <c r="E328" s="2" t="inlineStr">
        <is>
          <t>14</t>
        </is>
      </c>
      <c r="F328" s="2" t="inlineStr"/>
      <c r="G328" s="2" t="inlineStr">
        <is>
          <t>num{zzzzzzzzzzzzzz9.99}</t>
        </is>
      </c>
      <c r="H328" s="2" t="inlineStr">
        <is>
          <t>num{zzzzzzzzzzzzzz9.99}</t>
        </is>
      </c>
      <c r="I328" s="2" t="inlineStr">
        <is>
          <t>Read-only</t>
        </is>
      </c>
      <c r="J328" s="2" t="inlineStr">
        <is>
          <t>Yes</t>
        </is>
      </c>
      <c r="K328" s="2" t="inlineStr"/>
      <c r="L328" s="2" t="inlineStr"/>
      <c r="M328" s="2" t="inlineStr"/>
    </row>
    <row r="329">
      <c r="A329" s="2" t="inlineStr">
        <is>
          <t>Page11.C190</t>
        </is>
      </c>
      <c r="B329" s="2" t="inlineStr">
        <is>
          <t>Page11</t>
        </is>
      </c>
      <c r="C329" s="2" t="inlineStr">
        <is>
          <t>numericEdit</t>
        </is>
      </c>
      <c r="D329" s="2" t="inlineStr">
        <is>
          <t>decimal</t>
        </is>
      </c>
      <c r="E329" s="2" t="inlineStr">
        <is>
          <t>14</t>
        </is>
      </c>
      <c r="F329" s="2" t="inlineStr"/>
      <c r="G329" s="2" t="inlineStr">
        <is>
          <t>num{zzzzzzzzzzzzzz9.99}</t>
        </is>
      </c>
      <c r="H329" s="2" t="inlineStr">
        <is>
          <t>num{zzzzzzzzzzzzzz9.99}</t>
        </is>
      </c>
      <c r="I329" s="2" t="inlineStr">
        <is>
          <t>Read-only</t>
        </is>
      </c>
      <c r="J329" s="2" t="inlineStr">
        <is>
          <t>Yes</t>
        </is>
      </c>
      <c r="K329" s="2" t="inlineStr"/>
      <c r="L329" s="2" t="inlineStr"/>
      <c r="M329" s="2" t="inlineStr"/>
    </row>
    <row r="330">
      <c r="A330" s="2" t="inlineStr">
        <is>
          <t>Page11.C191</t>
        </is>
      </c>
      <c r="B330" s="2" t="inlineStr">
        <is>
          <t>Page11</t>
        </is>
      </c>
      <c r="C330" s="2" t="inlineStr">
        <is>
          <t>numericEdit</t>
        </is>
      </c>
      <c r="D330" s="2" t="inlineStr">
        <is>
          <t>decimal</t>
        </is>
      </c>
      <c r="E330" s="2" t="inlineStr">
        <is>
          <t>14</t>
        </is>
      </c>
      <c r="F330" s="2" t="inlineStr"/>
      <c r="G330" s="2" t="inlineStr">
        <is>
          <t>num{zzzzzzzzzzzzzz9.99}</t>
        </is>
      </c>
      <c r="H330" s="2" t="inlineStr">
        <is>
          <t>num{zzzzzzzzzzzzzz9.99}</t>
        </is>
      </c>
      <c r="I330" s="2" t="inlineStr">
        <is>
          <t>Read-only</t>
        </is>
      </c>
      <c r="J330" s="2" t="inlineStr">
        <is>
          <t>Yes</t>
        </is>
      </c>
      <c r="K330" s="2" t="inlineStr"/>
      <c r="L330" s="2" t="inlineStr"/>
      <c r="M330" s="2" t="inlineStr"/>
    </row>
    <row r="331">
      <c r="A331" s="2" t="inlineStr">
        <is>
          <t>Page11.C187</t>
        </is>
      </c>
      <c r="B331" s="2" t="inlineStr">
        <is>
          <t>Page11</t>
        </is>
      </c>
      <c r="C331" s="2" t="inlineStr">
        <is>
          <t>numericEdit</t>
        </is>
      </c>
      <c r="D331" s="2" t="inlineStr">
        <is>
          <t>decimal</t>
        </is>
      </c>
      <c r="E331" s="2" t="inlineStr">
        <is>
          <t>14</t>
        </is>
      </c>
      <c r="F331" s="2" t="inlineStr"/>
      <c r="G331" s="2" t="inlineStr">
        <is>
          <t>num{zzzzzzzzzzzzzz9.99}</t>
        </is>
      </c>
      <c r="H331" s="2" t="inlineStr">
        <is>
          <t>num{zzzzzzzzzzzzzz9.99}</t>
        </is>
      </c>
      <c r="I331" s="2" t="inlineStr">
        <is>
          <t>Read-only</t>
        </is>
      </c>
      <c r="J331" s="2" t="inlineStr">
        <is>
          <t>Yes</t>
        </is>
      </c>
      <c r="K331" s="2" t="inlineStr"/>
      <c r="L331" s="2" t="inlineStr"/>
      <c r="M331" s="2" t="inlineStr"/>
    </row>
    <row r="332">
      <c r="A332" s="2" t="inlineStr">
        <is>
          <t>Page11.C192</t>
        </is>
      </c>
      <c r="B332" s="2" t="inlineStr">
        <is>
          <t>Page11</t>
        </is>
      </c>
      <c r="C332" s="2" t="inlineStr">
        <is>
          <t>numericEdit</t>
        </is>
      </c>
      <c r="D332" s="2" t="inlineStr"/>
      <c r="E332" s="2" t="inlineStr">
        <is>
          <t>14</t>
        </is>
      </c>
      <c r="F332" s="2" t="inlineStr"/>
      <c r="G332" s="2" t="inlineStr">
        <is>
          <t>num{zzzzzzzzzzzzzz9.99}</t>
        </is>
      </c>
      <c r="H332" s="2" t="inlineStr">
        <is>
          <t>num{zzzzzzzzzzzzzz9.99}</t>
        </is>
      </c>
      <c r="I332" s="2" t="inlineStr">
        <is>
          <t>Read-only</t>
        </is>
      </c>
      <c r="J332" s="2" t="inlineStr">
        <is>
          <t>Yes</t>
        </is>
      </c>
      <c r="K332" s="2" t="inlineStr"/>
      <c r="L332" s="2" t="inlineStr"/>
      <c r="M332" s="2" t="inlineStr"/>
    </row>
    <row r="333">
      <c r="A333" s="2" t="inlineStr">
        <is>
          <t>Page12.AA</t>
        </is>
      </c>
      <c r="B333" s="2" t="inlineStr">
        <is>
          <t>Page12</t>
        </is>
      </c>
      <c r="C333" s="2" t="inlineStr">
        <is>
          <t>numericEdit</t>
        </is>
      </c>
      <c r="D333" s="2" t="inlineStr"/>
      <c r="E333" s="2" t="inlineStr">
        <is>
          <t>14</t>
        </is>
      </c>
      <c r="F333" s="2" t="inlineStr"/>
      <c r="G333" s="2" t="inlineStr">
        <is>
          <t>num{zzzzzzzzzzzzzz9.99}</t>
        </is>
      </c>
      <c r="H333" s="2" t="inlineStr">
        <is>
          <t>num{zzzzzzzzzzzzzz9.99}</t>
        </is>
      </c>
      <c r="I333" s="2" t="inlineStr">
        <is>
          <t>Read-only</t>
        </is>
      </c>
      <c r="J333" s="2" t="inlineStr">
        <is>
          <t>Yes</t>
        </is>
      </c>
      <c r="K333" s="2" t="inlineStr"/>
      <c r="L333" s="2" t="inlineStr"/>
      <c r="M333" s="2" t="inlineStr"/>
    </row>
    <row r="334">
      <c r="A334" s="2" t="inlineStr">
        <is>
          <t>Page12.C193</t>
        </is>
      </c>
      <c r="B334" s="2" t="inlineStr">
        <is>
          <t>Page12</t>
        </is>
      </c>
      <c r="C334" s="2" t="inlineStr">
        <is>
          <t>numericEdit</t>
        </is>
      </c>
      <c r="D334" s="2" t="inlineStr"/>
      <c r="E334" s="2" t="inlineStr">
        <is>
          <t>14</t>
        </is>
      </c>
      <c r="F334" s="2" t="inlineStr"/>
      <c r="G334" s="2" t="inlineStr">
        <is>
          <t>num{zzzzzzzzzzzzzz9.99}</t>
        </is>
      </c>
      <c r="H334" s="2" t="inlineStr">
        <is>
          <t>num{zzzzzzzzzzzzzz9.99}</t>
        </is>
      </c>
      <c r="I334" s="2" t="inlineStr">
        <is>
          <t>Read-only</t>
        </is>
      </c>
      <c r="J334" s="2" t="inlineStr">
        <is>
          <t>Yes</t>
        </is>
      </c>
      <c r="K334" s="2" t="inlineStr"/>
      <c r="L334" s="2" t="inlineStr"/>
      <c r="M334" s="2" t="inlineStr"/>
    </row>
    <row r="335">
      <c r="A335" s="2" t="inlineStr">
        <is>
          <t>Page12.C195</t>
        </is>
      </c>
      <c r="B335" s="2" t="inlineStr">
        <is>
          <t>Page12</t>
        </is>
      </c>
      <c r="C335" s="2" t="inlineStr">
        <is>
          <t>numericEdit</t>
        </is>
      </c>
      <c r="D335" s="2" t="inlineStr"/>
      <c r="E335" s="2" t="inlineStr">
        <is>
          <t>14</t>
        </is>
      </c>
      <c r="F335" s="2" t="inlineStr"/>
      <c r="G335" s="2" t="inlineStr">
        <is>
          <t>num{zzzzzzzzzzzzzz9.99}</t>
        </is>
      </c>
      <c r="H335" s="2" t="inlineStr">
        <is>
          <t>num{zzzzzzzzzzzzzz9.99}</t>
        </is>
      </c>
      <c r="I335" s="2" t="inlineStr">
        <is>
          <t>Read-only</t>
        </is>
      </c>
      <c r="J335" s="2" t="inlineStr">
        <is>
          <t>Yes</t>
        </is>
      </c>
      <c r="K335" s="2" t="inlineStr"/>
      <c r="L335" s="2" t="inlineStr"/>
      <c r="M335" s="2" t="inlineStr"/>
    </row>
    <row r="336">
      <c r="A336" s="2" t="inlineStr">
        <is>
          <t>Page12.C196</t>
        </is>
      </c>
      <c r="B336" s="2" t="inlineStr">
        <is>
          <t>Page12</t>
        </is>
      </c>
      <c r="C336" s="2" t="inlineStr">
        <is>
          <t>numericEdit</t>
        </is>
      </c>
      <c r="D336" s="2" t="inlineStr"/>
      <c r="E336" s="2" t="inlineStr">
        <is>
          <t>14</t>
        </is>
      </c>
      <c r="F336" s="2" t="inlineStr"/>
      <c r="G336" s="2" t="inlineStr">
        <is>
          <t>num{zzzzzzzzzzzzzz9.99}</t>
        </is>
      </c>
      <c r="H336" s="2" t="inlineStr">
        <is>
          <t>num{zzzzzzzzzzzzzz9.99}</t>
        </is>
      </c>
      <c r="I336" s="2" t="inlineStr">
        <is>
          <t>Read-only</t>
        </is>
      </c>
      <c r="J336" s="2" t="inlineStr">
        <is>
          <t>Yes</t>
        </is>
      </c>
      <c r="K336" s="2" t="inlineStr"/>
      <c r="L336" s="2" t="inlineStr"/>
      <c r="M336" s="2" t="inlineStr"/>
    </row>
    <row r="337">
      <c r="A337" s="2" t="inlineStr">
        <is>
          <t>Page12.C197</t>
        </is>
      </c>
      <c r="B337" s="2" t="inlineStr">
        <is>
          <t>Page12</t>
        </is>
      </c>
      <c r="C337" s="2" t="inlineStr">
        <is>
          <t>numericEdit</t>
        </is>
      </c>
      <c r="D337" s="2" t="inlineStr"/>
      <c r="E337" s="2" t="inlineStr">
        <is>
          <t>14</t>
        </is>
      </c>
      <c r="F337" s="2" t="inlineStr"/>
      <c r="G337" s="2" t="inlineStr">
        <is>
          <t>num{zzzzzzzzzzzzzz9.99}</t>
        </is>
      </c>
      <c r="H337" s="2" t="inlineStr">
        <is>
          <t>num{zzzzzzzzzzzzzz9.99}</t>
        </is>
      </c>
      <c r="I337" s="2" t="inlineStr">
        <is>
          <t>Read-only</t>
        </is>
      </c>
      <c r="J337" s="2" t="inlineStr">
        <is>
          <t>Yes</t>
        </is>
      </c>
      <c r="K337" s="2" t="inlineStr"/>
      <c r="L337" s="2" t="inlineStr"/>
      <c r="M337" s="2" t="inlineStr"/>
    </row>
    <row r="338">
      <c r="A338" s="2" t="inlineStr">
        <is>
          <t>Page12.C198</t>
        </is>
      </c>
      <c r="B338" s="2" t="inlineStr">
        <is>
          <t>Page12</t>
        </is>
      </c>
      <c r="C338" s="2" t="inlineStr">
        <is>
          <t>numericEdit</t>
        </is>
      </c>
      <c r="D338" s="2" t="inlineStr"/>
      <c r="E338" s="2" t="inlineStr">
        <is>
          <t>14</t>
        </is>
      </c>
      <c r="F338" s="2" t="inlineStr"/>
      <c r="G338" s="2" t="inlineStr">
        <is>
          <t>num{zzzzzzzzzzzzzz9.99}</t>
        </is>
      </c>
      <c r="H338" s="2" t="inlineStr">
        <is>
          <t>num{zzzzzzzzzzzzzz9.99}</t>
        </is>
      </c>
      <c r="I338" s="2" t="inlineStr">
        <is>
          <t>Read-only</t>
        </is>
      </c>
      <c r="J338" s="2" t="inlineStr">
        <is>
          <t>Yes</t>
        </is>
      </c>
      <c r="K338" s="2" t="inlineStr"/>
      <c r="L338" s="2" t="inlineStr"/>
      <c r="M338" s="2" t="inlineStr"/>
    </row>
    <row r="339">
      <c r="A339" s="2" t="inlineStr">
        <is>
          <t>Page12.C199</t>
        </is>
      </c>
      <c r="B339" s="2" t="inlineStr">
        <is>
          <t>Page12</t>
        </is>
      </c>
      <c r="C339" s="2" t="inlineStr">
        <is>
          <t>numericEdit</t>
        </is>
      </c>
      <c r="D339" s="2" t="inlineStr"/>
      <c r="E339" s="2" t="inlineStr">
        <is>
          <t>14</t>
        </is>
      </c>
      <c r="F339" s="2" t="inlineStr"/>
      <c r="G339" s="2" t="inlineStr">
        <is>
          <t>num{zzzzzzzzzzzzzz9.99}</t>
        </is>
      </c>
      <c r="H339" s="2" t="inlineStr">
        <is>
          <t>num{zzzzzzzzzzzzzz9.99}</t>
        </is>
      </c>
      <c r="I339" s="2" t="inlineStr">
        <is>
          <t>Read-only</t>
        </is>
      </c>
      <c r="J339" s="2" t="inlineStr">
        <is>
          <t>Yes</t>
        </is>
      </c>
      <c r="K339" s="2" t="inlineStr"/>
      <c r="L339" s="2" t="inlineStr"/>
      <c r="M339" s="2" t="inlineStr"/>
    </row>
    <row r="340">
      <c r="A340" s="2" t="inlineStr">
        <is>
          <t>Page12.C200</t>
        </is>
      </c>
      <c r="B340" s="2" t="inlineStr">
        <is>
          <t>Page12</t>
        </is>
      </c>
      <c r="C340" s="2" t="inlineStr">
        <is>
          <t>numericEdit</t>
        </is>
      </c>
      <c r="D340" s="2" t="inlineStr"/>
      <c r="E340" s="2" t="inlineStr">
        <is>
          <t>14</t>
        </is>
      </c>
      <c r="F340" s="2" t="inlineStr"/>
      <c r="G340" s="2" t="inlineStr">
        <is>
          <t>num{zzzzzzzzzzzzzz9.99}</t>
        </is>
      </c>
      <c r="H340" s="2" t="inlineStr">
        <is>
          <t>num{zzzzzzzzzzzzzz9.99}</t>
        </is>
      </c>
      <c r="I340" s="2" t="inlineStr">
        <is>
          <t>Read-only</t>
        </is>
      </c>
      <c r="J340" s="2" t="inlineStr">
        <is>
          <t>Yes</t>
        </is>
      </c>
      <c r="K340" s="2" t="inlineStr"/>
      <c r="L340" s="2" t="inlineStr"/>
      <c r="M340" s="2" t="inlineStr"/>
    </row>
    <row r="341">
      <c r="A341" s="2" t="inlineStr">
        <is>
          <t>Page12.C201</t>
        </is>
      </c>
      <c r="B341" s="2" t="inlineStr">
        <is>
          <t>Page12</t>
        </is>
      </c>
      <c r="C341" s="2" t="inlineStr">
        <is>
          <t>numericEdit</t>
        </is>
      </c>
      <c r="D341" s="2" t="inlineStr"/>
      <c r="E341" s="2" t="inlineStr">
        <is>
          <t>14</t>
        </is>
      </c>
      <c r="F341" s="2" t="inlineStr"/>
      <c r="G341" s="2" t="inlineStr">
        <is>
          <t>num{zzzzzzzzzzzzzz9.99}</t>
        </is>
      </c>
      <c r="H341" s="2" t="inlineStr">
        <is>
          <t>num{zzzzzzzzzzzzzz9.99}</t>
        </is>
      </c>
      <c r="I341" s="2" t="inlineStr">
        <is>
          <t>Read-only</t>
        </is>
      </c>
      <c r="J341" s="2" t="inlineStr">
        <is>
          <t>Yes</t>
        </is>
      </c>
      <c r="K341" s="2" t="inlineStr"/>
      <c r="L341" s="2" t="inlineStr"/>
      <c r="M341" s="2" t="inlineStr"/>
    </row>
    <row r="342">
      <c r="A342" s="2" t="inlineStr">
        <is>
          <t>Page12.C202</t>
        </is>
      </c>
      <c r="B342" s="2" t="inlineStr">
        <is>
          <t>Page12</t>
        </is>
      </c>
      <c r="C342" s="2" t="inlineStr">
        <is>
          <t>numericEdit</t>
        </is>
      </c>
      <c r="D342" s="2" t="inlineStr"/>
      <c r="E342" s="2" t="inlineStr">
        <is>
          <t>14</t>
        </is>
      </c>
      <c r="F342" s="2" t="inlineStr"/>
      <c r="G342" s="2" t="inlineStr">
        <is>
          <t>num{zzzzzzzzzzzzzz9.99}</t>
        </is>
      </c>
      <c r="H342" s="2" t="inlineStr">
        <is>
          <t>num{zzzzzzzzzzzzzz9.99}</t>
        </is>
      </c>
      <c r="I342" s="2" t="inlineStr">
        <is>
          <t>Read-only</t>
        </is>
      </c>
      <c r="J342" s="2" t="inlineStr">
        <is>
          <t>Yes</t>
        </is>
      </c>
      <c r="K342" s="2" t="inlineStr"/>
      <c r="L342" s="2" t="inlineStr"/>
      <c r="M342" s="2" t="inlineStr"/>
    </row>
    <row r="343">
      <c r="A343" s="2" t="inlineStr">
        <is>
          <t>Page12.AC</t>
        </is>
      </c>
      <c r="B343" s="2" t="inlineStr">
        <is>
          <t>Page12</t>
        </is>
      </c>
      <c r="C343" s="2" t="inlineStr">
        <is>
          <t>numericEdit</t>
        </is>
      </c>
      <c r="D343" s="2" t="inlineStr"/>
      <c r="E343" s="2" t="inlineStr">
        <is>
          <t>14</t>
        </is>
      </c>
      <c r="F343" s="2" t="inlineStr"/>
      <c r="G343" s="2" t="inlineStr">
        <is>
          <t>num{zzzzzzzzzzzzzz9.99}</t>
        </is>
      </c>
      <c r="H343" s="2" t="inlineStr">
        <is>
          <t>num{zzzzzzzzzzzzzz9.99}</t>
        </is>
      </c>
      <c r="I343" s="2" t="inlineStr">
        <is>
          <t>Read-only</t>
        </is>
      </c>
      <c r="J343" s="2" t="inlineStr">
        <is>
          <t>Yes</t>
        </is>
      </c>
      <c r="K343" s="2" t="inlineStr"/>
      <c r="L343" s="2" t="inlineStr"/>
      <c r="M343" s="2" t="inlineStr"/>
    </row>
    <row r="344">
      <c r="A344" s="2" t="inlineStr">
        <is>
          <t>Page12.AD</t>
        </is>
      </c>
      <c r="B344" s="2" t="inlineStr">
        <is>
          <t>Page12</t>
        </is>
      </c>
      <c r="C344" s="2" t="inlineStr">
        <is>
          <t>numericEdit</t>
        </is>
      </c>
      <c r="D344" s="2" t="inlineStr"/>
      <c r="E344" s="2" t="inlineStr">
        <is>
          <t>14</t>
        </is>
      </c>
      <c r="F344" s="2" t="inlineStr"/>
      <c r="G344" s="2" t="inlineStr">
        <is>
          <t>num{zzzzzzzzzzzzzz9.99}</t>
        </is>
      </c>
      <c r="H344" s="2" t="inlineStr">
        <is>
          <t>num{zzzzzzzzzzzzzz9.99}</t>
        </is>
      </c>
      <c r="I344" s="2" t="inlineStr">
        <is>
          <t>Read-only</t>
        </is>
      </c>
      <c r="J344" s="2" t="inlineStr">
        <is>
          <t>Yes</t>
        </is>
      </c>
      <c r="K344" s="2" t="inlineStr"/>
      <c r="L344" s="2" t="inlineStr"/>
      <c r="M344" s="2" t="inlineStr"/>
    </row>
    <row r="345">
      <c r="A345" s="2" t="inlineStr">
        <is>
          <t>Page12.C204.Yes</t>
        </is>
      </c>
      <c r="B345" s="2" t="inlineStr">
        <is>
          <t>Page12</t>
        </is>
      </c>
      <c r="C345" s="2" t="inlineStr">
        <is>
          <t>checkButton</t>
        </is>
      </c>
      <c r="D345" s="2" t="inlineStr">
        <is>
          <t>text</t>
        </is>
      </c>
      <c r="E345" s="2" t="inlineStr"/>
      <c r="F345" s="2" t="inlineStr"/>
      <c r="G345" s="2" t="inlineStr"/>
      <c r="H345" s="2" t="inlineStr"/>
      <c r="I345" s="2" t="inlineStr">
        <is>
          <t>Editable</t>
        </is>
      </c>
      <c r="J345" s="2" t="inlineStr"/>
      <c r="K345" s="2" t="inlineStr"/>
      <c r="L345" s="2" t="inlineStr"/>
      <c r="M345" s="2" t="inlineStr"/>
    </row>
    <row r="346">
      <c r="A346" s="2" t="inlineStr">
        <is>
          <t>Page12.C204.No</t>
        </is>
      </c>
      <c r="B346" s="2" t="inlineStr">
        <is>
          <t>Page12</t>
        </is>
      </c>
      <c r="C346" s="2" t="inlineStr">
        <is>
          <t>checkButton</t>
        </is>
      </c>
      <c r="D346" s="2" t="inlineStr"/>
      <c r="E346" s="2" t="inlineStr"/>
      <c r="F346" s="2" t="inlineStr"/>
      <c r="G346" s="2" t="inlineStr"/>
      <c r="H346" s="2" t="inlineStr"/>
      <c r="I346" s="2" t="inlineStr">
        <is>
          <t>Editable</t>
        </is>
      </c>
      <c r="J346" s="2" t="inlineStr"/>
      <c r="K346" s="2" t="inlineStr"/>
      <c r="L346" s="2" t="inlineStr"/>
      <c r="M346" s="2" t="inlineStr"/>
    </row>
    <row r="347">
      <c r="A347" s="2" t="inlineStr">
        <is>
          <t>Page12.C213</t>
        </is>
      </c>
      <c r="B347" s="2" t="inlineStr">
        <is>
          <t>Page12</t>
        </is>
      </c>
      <c r="C347" s="2" t="inlineStr">
        <is>
          <t>numericEdit</t>
        </is>
      </c>
      <c r="D347" s="2" t="inlineStr">
        <is>
          <t>decimal</t>
        </is>
      </c>
      <c r="E347" s="2" t="inlineStr">
        <is>
          <t>14</t>
        </is>
      </c>
      <c r="F347" s="2" t="inlineStr"/>
      <c r="G347" s="2" t="inlineStr"/>
      <c r="H347" s="2" t="inlineStr">
        <is>
          <t>num{zzzzzzzzzzzzzz9.99}</t>
        </is>
      </c>
      <c r="I347" s="2" t="inlineStr">
        <is>
          <t>Read-only</t>
        </is>
      </c>
      <c r="J347" s="2" t="inlineStr">
        <is>
          <t>Yes</t>
        </is>
      </c>
      <c r="K347" s="2" t="inlineStr"/>
      <c r="L347" s="2" t="inlineStr"/>
      <c r="M347" s="2" t="inlineStr"/>
    </row>
    <row r="348">
      <c r="A348" s="2" t="inlineStr">
        <is>
          <t>Page12.C207</t>
        </is>
      </c>
      <c r="B348" s="2" t="inlineStr">
        <is>
          <t>Page12</t>
        </is>
      </c>
      <c r="C348" s="2" t="inlineStr">
        <is>
          <t>numericEdit</t>
        </is>
      </c>
      <c r="D348" s="2" t="inlineStr">
        <is>
          <t>decimal</t>
        </is>
      </c>
      <c r="E348" s="2" t="inlineStr">
        <is>
          <t>14</t>
        </is>
      </c>
      <c r="F348" s="2" t="inlineStr"/>
      <c r="G348" s="2" t="inlineStr">
        <is>
          <t>num{zzzzzzzzzzzzzz9.99}</t>
        </is>
      </c>
      <c r="H348" s="2" t="inlineStr">
        <is>
          <t>num{zzzzzzzzzzzzzz9.99}</t>
        </is>
      </c>
      <c r="I348" s="2" t="inlineStr">
        <is>
          <t>Editable</t>
        </is>
      </c>
      <c r="J348" s="2" t="inlineStr"/>
      <c r="K348" s="2" t="inlineStr"/>
      <c r="L348" s="2" t="inlineStr"/>
      <c r="M348" s="2" t="inlineStr"/>
    </row>
    <row r="349">
      <c r="A349" s="2" t="inlineStr">
        <is>
          <t>Page12.C211</t>
        </is>
      </c>
      <c r="B349" s="2" t="inlineStr">
        <is>
          <t>Page12</t>
        </is>
      </c>
      <c r="C349" s="2" t="inlineStr">
        <is>
          <t>numericEdit</t>
        </is>
      </c>
      <c r="D349" s="2" t="inlineStr">
        <is>
          <t>decimal</t>
        </is>
      </c>
      <c r="E349" s="2" t="inlineStr">
        <is>
          <t>14</t>
        </is>
      </c>
      <c r="F349" s="2" t="inlineStr"/>
      <c r="G349" s="2" t="inlineStr">
        <is>
          <t>num{zzzzzzzzzzzzzz9.99}</t>
        </is>
      </c>
      <c r="H349" s="2" t="inlineStr">
        <is>
          <t>num{zzzzzzzzzzzzzz9.99}</t>
        </is>
      </c>
      <c r="I349" s="2" t="inlineStr">
        <is>
          <t>Read-only</t>
        </is>
      </c>
      <c r="J349" s="2" t="inlineStr">
        <is>
          <t>Yes</t>
        </is>
      </c>
      <c r="K349" s="2" t="inlineStr"/>
      <c r="L349" s="2" t="inlineStr"/>
      <c r="M349" s="2" t="inlineStr"/>
    </row>
    <row r="350">
      <c r="A350" s="2" t="inlineStr">
        <is>
          <t>Page12.C208</t>
        </is>
      </c>
      <c r="B350" s="2" t="inlineStr">
        <is>
          <t>Page12</t>
        </is>
      </c>
      <c r="C350" s="2" t="inlineStr">
        <is>
          <t>numericEdit</t>
        </is>
      </c>
      <c r="D350" s="2" t="inlineStr">
        <is>
          <t>decimal</t>
        </is>
      </c>
      <c r="E350" s="2" t="inlineStr">
        <is>
          <t>14</t>
        </is>
      </c>
      <c r="F350" s="2" t="inlineStr"/>
      <c r="G350" s="2" t="inlineStr">
        <is>
          <t>num{zzzzzzzzzzzzzz9.99}</t>
        </is>
      </c>
      <c r="H350" s="2" t="inlineStr">
        <is>
          <t>num{zzzzzzzzzzzzzz9.99}</t>
        </is>
      </c>
      <c r="I350" s="2" t="inlineStr">
        <is>
          <t>Editable</t>
        </is>
      </c>
      <c r="J350" s="2" t="inlineStr"/>
      <c r="K350" s="2" t="inlineStr"/>
      <c r="L350" s="2" t="inlineStr"/>
      <c r="M350" s="2" t="inlineStr"/>
    </row>
    <row r="351">
      <c r="A351" s="2" t="inlineStr">
        <is>
          <t>Page12.C209</t>
        </is>
      </c>
      <c r="B351" s="2" t="inlineStr">
        <is>
          <t>Page12</t>
        </is>
      </c>
      <c r="C351" s="2" t="inlineStr">
        <is>
          <t>numericEdit</t>
        </is>
      </c>
      <c r="D351" s="2" t="inlineStr">
        <is>
          <t>decimal</t>
        </is>
      </c>
      <c r="E351" s="2" t="inlineStr">
        <is>
          <t>14</t>
        </is>
      </c>
      <c r="F351" s="2" t="inlineStr"/>
      <c r="G351" s="2" t="inlineStr"/>
      <c r="H351" s="2" t="inlineStr">
        <is>
          <t>num{zzzzzzzzzzzzzz9.99}</t>
        </is>
      </c>
      <c r="I351" s="2" t="inlineStr">
        <is>
          <t>Read-only</t>
        </is>
      </c>
      <c r="J351" s="2" t="inlineStr"/>
      <c r="K351" s="2" t="inlineStr"/>
      <c r="L351" s="2" t="inlineStr"/>
      <c r="M351" s="2" t="inlineStr"/>
    </row>
    <row r="352">
      <c r="A352" s="2" t="inlineStr">
        <is>
          <t>Page12.C210</t>
        </is>
      </c>
      <c r="B352" s="2" t="inlineStr">
        <is>
          <t>Page12</t>
        </is>
      </c>
      <c r="C352" s="2" t="inlineStr">
        <is>
          <t>numericEdit</t>
        </is>
      </c>
      <c r="D352" s="2" t="inlineStr">
        <is>
          <t>decimal</t>
        </is>
      </c>
      <c r="E352" s="2" t="inlineStr">
        <is>
          <t>14</t>
        </is>
      </c>
      <c r="F352" s="2" t="inlineStr"/>
      <c r="G352" s="2" t="inlineStr">
        <is>
          <t>num{zzzzzzzzzzzzzz9.99}</t>
        </is>
      </c>
      <c r="H352" s="2" t="inlineStr">
        <is>
          <t>num{zzzzzzzzzzzzzz9.99}</t>
        </is>
      </c>
      <c r="I352" s="2" t="inlineStr">
        <is>
          <t>Editable</t>
        </is>
      </c>
      <c r="J352" s="2" t="inlineStr"/>
      <c r="K352" s="2" t="inlineStr"/>
      <c r="L352" s="2" t="inlineStr"/>
      <c r="M352" s="2" t="inlineStr"/>
    </row>
    <row r="353">
      <c r="A353" s="2" t="inlineStr">
        <is>
          <t>Page12.C206</t>
        </is>
      </c>
      <c r="B353" s="2" t="inlineStr">
        <is>
          <t>Page12</t>
        </is>
      </c>
      <c r="C353" s="2" t="inlineStr">
        <is>
          <t>numericEdit</t>
        </is>
      </c>
      <c r="D353" s="2" t="inlineStr">
        <is>
          <t>decimal</t>
        </is>
      </c>
      <c r="E353" s="2" t="inlineStr">
        <is>
          <t>14</t>
        </is>
      </c>
      <c r="F353" s="2" t="inlineStr"/>
      <c r="G353" s="2" t="inlineStr">
        <is>
          <t>num{zzzzzzzzzzzzzz9.99}</t>
        </is>
      </c>
      <c r="H353" s="2" t="inlineStr">
        <is>
          <t>num{zzzzzzzzzzzzzz9.99}</t>
        </is>
      </c>
      <c r="I353" s="2" t="inlineStr">
        <is>
          <t>Editable</t>
        </is>
      </c>
      <c r="J353" s="2" t="inlineStr"/>
      <c r="K353" s="2" t="inlineStr">
        <is>
          <t>Yes</t>
        </is>
      </c>
      <c r="L353" s="2" t="inlineStr"/>
      <c r="M353" s="2" t="inlineStr"/>
    </row>
    <row r="354">
      <c r="A354" s="2" t="inlineStr">
        <is>
          <t>Page12.C212</t>
        </is>
      </c>
      <c r="B354" s="2" t="inlineStr">
        <is>
          <t>Page12</t>
        </is>
      </c>
      <c r="C354" s="2" t="inlineStr">
        <is>
          <t>numericEdit</t>
        </is>
      </c>
      <c r="D354" s="2" t="inlineStr">
        <is>
          <t>decimal</t>
        </is>
      </c>
      <c r="E354" s="2" t="inlineStr">
        <is>
          <t>14</t>
        </is>
      </c>
      <c r="F354" s="2" t="inlineStr"/>
      <c r="G354" s="2" t="inlineStr">
        <is>
          <t>num{zzzzzzzzzzzzzz9.99}</t>
        </is>
      </c>
      <c r="H354" s="2" t="inlineStr">
        <is>
          <t>num{zzzzzzzzzzzzzz9.99}</t>
        </is>
      </c>
      <c r="I354" s="2" t="inlineStr">
        <is>
          <t>Read-only</t>
        </is>
      </c>
      <c r="J354" s="2" t="inlineStr">
        <is>
          <t>Yes</t>
        </is>
      </c>
      <c r="K354" s="2" t="inlineStr"/>
      <c r="L354" s="2" t="inlineStr"/>
      <c r="M354" s="2" t="inlineStr"/>
    </row>
    <row r="355">
      <c r="A355" s="2" t="inlineStr">
        <is>
          <t>Page12.C214</t>
        </is>
      </c>
      <c r="B355" s="2" t="inlineStr">
        <is>
          <t>Page12</t>
        </is>
      </c>
      <c r="C355" s="2" t="inlineStr">
        <is>
          <t>numericEdit</t>
        </is>
      </c>
      <c r="D355" s="2" t="inlineStr">
        <is>
          <t>decimal</t>
        </is>
      </c>
      <c r="E355" s="2" t="inlineStr">
        <is>
          <t>14</t>
        </is>
      </c>
      <c r="F355" s="2" t="inlineStr"/>
      <c r="G355" s="2" t="inlineStr">
        <is>
          <t>num{zzzzzzzzzzzzzz9.99}</t>
        </is>
      </c>
      <c r="H355" s="2" t="inlineStr">
        <is>
          <t>num{zzzzzzzzzzzzzz9.99}</t>
        </is>
      </c>
      <c r="I355" s="2" t="inlineStr">
        <is>
          <t>Read-only</t>
        </is>
      </c>
      <c r="J355" s="2" t="inlineStr">
        <is>
          <t>Yes</t>
        </is>
      </c>
      <c r="K355" s="2" t="inlineStr"/>
      <c r="L355" s="2" t="inlineStr"/>
      <c r="M355" s="2" t="inlineStr"/>
    </row>
    <row r="356">
      <c r="A356" s="2" t="inlineStr">
        <is>
          <t>Page12.C215</t>
        </is>
      </c>
      <c r="B356" s="2" t="inlineStr">
        <is>
          <t>Page12</t>
        </is>
      </c>
      <c r="C356" s="2" t="inlineStr">
        <is>
          <t>numericEdit</t>
        </is>
      </c>
      <c r="D356" s="2" t="inlineStr">
        <is>
          <t>decimal</t>
        </is>
      </c>
      <c r="E356" s="2" t="inlineStr">
        <is>
          <t>14</t>
        </is>
      </c>
      <c r="F356" s="2" t="inlineStr"/>
      <c r="G356" s="2" t="inlineStr">
        <is>
          <t>num{zzzzzzzzzzzzzz9.99}</t>
        </is>
      </c>
      <c r="H356" s="2" t="inlineStr">
        <is>
          <t>num{zzzzzzzzzzzzzz9.99}</t>
        </is>
      </c>
      <c r="I356" s="2" t="inlineStr">
        <is>
          <t>Read-only</t>
        </is>
      </c>
      <c r="J356" s="2" t="inlineStr">
        <is>
          <t>Yes</t>
        </is>
      </c>
      <c r="K356" s="2" t="inlineStr"/>
      <c r="L356" s="2" t="inlineStr"/>
      <c r="M356" s="2" t="inlineStr"/>
    </row>
    <row r="357">
      <c r="A357" s="2" t="inlineStr">
        <is>
          <t>Page12.C203</t>
        </is>
      </c>
      <c r="B357" s="2" t="inlineStr">
        <is>
          <t>Page12</t>
        </is>
      </c>
      <c r="C357" s="2" t="inlineStr">
        <is>
          <t>numericEdit</t>
        </is>
      </c>
      <c r="D357" s="2" t="inlineStr"/>
      <c r="E357" s="2" t="inlineStr">
        <is>
          <t>14</t>
        </is>
      </c>
      <c r="F357" s="2" t="inlineStr"/>
      <c r="G357" s="2" t="inlineStr">
        <is>
          <t>num{zzzzzzzzzzzzzz9.99}</t>
        </is>
      </c>
      <c r="H357" s="2" t="inlineStr">
        <is>
          <t>num{zzzzzzzzzzzzzz9.99}</t>
        </is>
      </c>
      <c r="I357" s="2" t="inlineStr">
        <is>
          <t>Read-only</t>
        </is>
      </c>
      <c r="J357" s="2" t="inlineStr">
        <is>
          <t>Yes</t>
        </is>
      </c>
      <c r="K357" s="2" t="inlineStr"/>
      <c r="L357" s="2" t="inlineStr"/>
      <c r="M357" s="2" t="inlineStr"/>
    </row>
    <row r="358">
      <c r="A358" s="2" t="inlineStr">
        <is>
          <t>Page12.C205</t>
        </is>
      </c>
      <c r="B358" s="2" t="inlineStr">
        <is>
          <t>Page12</t>
        </is>
      </c>
      <c r="C358" s="2" t="inlineStr">
        <is>
          <t>numericEdit</t>
        </is>
      </c>
      <c r="D358" s="2" t="inlineStr">
        <is>
          <t>decimal</t>
        </is>
      </c>
      <c r="E358" s="2" t="inlineStr">
        <is>
          <t>14</t>
        </is>
      </c>
      <c r="F358" s="2" t="inlineStr"/>
      <c r="G358" s="2" t="inlineStr">
        <is>
          <t>num{zzzzzzzzzzzzzz9.99}</t>
        </is>
      </c>
      <c r="H358" s="2" t="inlineStr">
        <is>
          <t>num{zzzzzzzzzzzzzz9.99}</t>
        </is>
      </c>
      <c r="I358" s="2" t="inlineStr">
        <is>
          <t>Editable</t>
        </is>
      </c>
      <c r="J358" s="2" t="inlineStr"/>
      <c r="K358" s="2" t="inlineStr">
        <is>
          <t>Yes</t>
        </is>
      </c>
      <c r="L358" s="2" t="inlineStr"/>
      <c r="M358" s="2" t="inlineStr"/>
    </row>
    <row r="359">
      <c r="A359" s="2" t="inlineStr">
        <is>
          <t>Page12.AB</t>
        </is>
      </c>
      <c r="B359" s="2" t="inlineStr">
        <is>
          <t>Page12</t>
        </is>
      </c>
      <c r="C359" s="2" t="inlineStr">
        <is>
          <t>numericEdit</t>
        </is>
      </c>
      <c r="D359" s="2" t="inlineStr"/>
      <c r="E359" s="2" t="inlineStr">
        <is>
          <t>14</t>
        </is>
      </c>
      <c r="F359" s="2" t="inlineStr"/>
      <c r="G359" s="2" t="inlineStr">
        <is>
          <t>num{zzzzzzzzzzzzzz9.99}</t>
        </is>
      </c>
      <c r="H359" s="2" t="inlineStr">
        <is>
          <t>num{zzzzzzzzzzzzzz9.99}</t>
        </is>
      </c>
      <c r="I359" s="2" t="inlineStr">
        <is>
          <t>Read-only</t>
        </is>
      </c>
      <c r="J359" s="2" t="inlineStr">
        <is>
          <t>Yes</t>
        </is>
      </c>
      <c r="K359" s="2" t="inlineStr"/>
      <c r="L359" s="2" t="inlineStr"/>
      <c r="M359" s="2" t="inlineStr"/>
    </row>
    <row r="360">
      <c r="A360" s="2" t="inlineStr">
        <is>
          <t>Page13.CA13</t>
        </is>
      </c>
      <c r="B360" s="2" t="inlineStr">
        <is>
          <t>Page13</t>
        </is>
      </c>
      <c r="C360" s="2" t="inlineStr">
        <is>
          <t>numericEdit</t>
        </is>
      </c>
      <c r="D360" s="2" t="inlineStr"/>
      <c r="E360" s="2" t="inlineStr"/>
      <c r="F360" s="2" t="inlineStr"/>
      <c r="G360" s="2" t="inlineStr"/>
      <c r="H360" s="2" t="inlineStr"/>
      <c r="I360" s="2" t="inlineStr">
        <is>
          <t>Editable</t>
        </is>
      </c>
      <c r="J360" s="2" t="inlineStr"/>
      <c r="K360" s="2" t="inlineStr"/>
      <c r="L360" s="2" t="inlineStr"/>
      <c r="M360" s="2" t="inlineStr"/>
    </row>
    <row r="361">
      <c r="A361" s="2" t="inlineStr">
        <is>
          <t>Page13.CA14</t>
        </is>
      </c>
      <c r="B361" s="2" t="inlineStr">
        <is>
          <t>Page13</t>
        </is>
      </c>
      <c r="C361" s="2" t="inlineStr">
        <is>
          <t>numericEdit</t>
        </is>
      </c>
      <c r="D361" s="2" t="inlineStr"/>
      <c r="E361" s="2" t="inlineStr"/>
      <c r="F361" s="2" t="inlineStr"/>
      <c r="G361" s="2" t="inlineStr"/>
      <c r="H361" s="2" t="inlineStr"/>
      <c r="I361" s="2" t="inlineStr">
        <is>
          <t>Editable</t>
        </is>
      </c>
      <c r="J361" s="2" t="inlineStr"/>
      <c r="K361" s="2" t="inlineStr"/>
      <c r="L361" s="2" t="inlineStr"/>
      <c r="M361" s="2" t="inlineStr"/>
    </row>
    <row r="362">
      <c r="A362" s="2" t="inlineStr">
        <is>
          <t>Page13.CA15</t>
        </is>
      </c>
      <c r="B362" s="2" t="inlineStr">
        <is>
          <t>Page13</t>
        </is>
      </c>
      <c r="C362" s="2" t="inlineStr">
        <is>
          <t>numericEdit</t>
        </is>
      </c>
      <c r="D362" s="2" t="inlineStr"/>
      <c r="E362" s="2" t="inlineStr"/>
      <c r="F362" s="2" t="inlineStr"/>
      <c r="G362" s="2" t="inlineStr"/>
      <c r="H362" s="2" t="inlineStr"/>
      <c r="I362" s="2" t="inlineStr">
        <is>
          <t>Editable</t>
        </is>
      </c>
      <c r="J362" s="2" t="inlineStr"/>
      <c r="K362" s="2" t="inlineStr"/>
      <c r="L362" s="2" t="inlineStr"/>
      <c r="M362" s="2" t="inlineStr"/>
    </row>
    <row r="363">
      <c r="A363" s="2" t="inlineStr">
        <is>
          <t>Page13.CA16</t>
        </is>
      </c>
      <c r="B363" s="2" t="inlineStr">
        <is>
          <t>Page13</t>
        </is>
      </c>
      <c r="C363" s="2" t="inlineStr">
        <is>
          <t>numericEdit</t>
        </is>
      </c>
      <c r="D363" s="2" t="inlineStr"/>
      <c r="E363" s="2" t="inlineStr"/>
      <c r="F363" s="2" t="inlineStr"/>
      <c r="G363" s="2" t="inlineStr"/>
      <c r="H363" s="2" t="inlineStr"/>
      <c r="I363" s="2" t="inlineStr">
        <is>
          <t>Editable</t>
        </is>
      </c>
      <c r="J363" s="2" t="inlineStr"/>
      <c r="K363" s="2" t="inlineStr"/>
      <c r="L363" s="2" t="inlineStr"/>
      <c r="M363" s="2" t="inlineStr"/>
    </row>
    <row r="364">
      <c r="A364" s="2" t="inlineStr">
        <is>
          <t>Page13.CA23</t>
        </is>
      </c>
      <c r="B364" s="2" t="inlineStr">
        <is>
          <t>Page13</t>
        </is>
      </c>
      <c r="C364" s="2" t="inlineStr">
        <is>
          <t>numericEdit</t>
        </is>
      </c>
      <c r="D364" s="2" t="inlineStr"/>
      <c r="E364" s="2" t="inlineStr"/>
      <c r="F364" s="2" t="inlineStr"/>
      <c r="G364" s="2" t="inlineStr"/>
      <c r="H364" s="2" t="inlineStr"/>
      <c r="I364" s="2" t="inlineStr">
        <is>
          <t>Editable</t>
        </is>
      </c>
      <c r="J364" s="2" t="inlineStr"/>
      <c r="K364" s="2" t="inlineStr"/>
      <c r="L364" s="2" t="inlineStr"/>
      <c r="M364" s="2" t="inlineStr"/>
    </row>
    <row r="365">
      <c r="A365" s="2" t="inlineStr">
        <is>
          <t>Page13.CA24</t>
        </is>
      </c>
      <c r="B365" s="2" t="inlineStr">
        <is>
          <t>Page13</t>
        </is>
      </c>
      <c r="C365" s="2" t="inlineStr">
        <is>
          <t>numericEdit</t>
        </is>
      </c>
      <c r="D365" s="2" t="inlineStr"/>
      <c r="E365" s="2" t="inlineStr"/>
      <c r="F365" s="2" t="inlineStr"/>
      <c r="G365" s="2" t="inlineStr"/>
      <c r="H365" s="2" t="inlineStr"/>
      <c r="I365" s="2" t="inlineStr">
        <is>
          <t>Editable</t>
        </is>
      </c>
      <c r="J365" s="2" t="inlineStr"/>
      <c r="K365" s="2" t="inlineStr"/>
      <c r="L365" s="2" t="inlineStr"/>
      <c r="M365" s="2" t="inlineStr"/>
    </row>
    <row r="366">
      <c r="A366" s="2" t="inlineStr">
        <is>
          <t>Page13.CA25</t>
        </is>
      </c>
      <c r="B366" s="2" t="inlineStr">
        <is>
          <t>Page13</t>
        </is>
      </c>
      <c r="C366" s="2" t="inlineStr">
        <is>
          <t>numericEdit</t>
        </is>
      </c>
      <c r="D366" s="2" t="inlineStr"/>
      <c r="E366" s="2" t="inlineStr"/>
      <c r="F366" s="2" t="inlineStr"/>
      <c r="G366" s="2" t="inlineStr"/>
      <c r="H366" s="2" t="inlineStr"/>
      <c r="I366" s="2" t="inlineStr">
        <is>
          <t>Editable</t>
        </is>
      </c>
      <c r="J366" s="2" t="inlineStr"/>
      <c r="K366" s="2" t="inlineStr"/>
      <c r="L366" s="2" t="inlineStr"/>
      <c r="M366" s="2" t="inlineStr"/>
    </row>
    <row r="367">
      <c r="A367" s="2" t="inlineStr">
        <is>
          <t>Page13.CA26</t>
        </is>
      </c>
      <c r="B367" s="2" t="inlineStr">
        <is>
          <t>Page13</t>
        </is>
      </c>
      <c r="C367" s="2" t="inlineStr">
        <is>
          <t>numericEdit</t>
        </is>
      </c>
      <c r="D367" s="2" t="inlineStr"/>
      <c r="E367" s="2" t="inlineStr"/>
      <c r="F367" s="2" t="inlineStr"/>
      <c r="G367" s="2" t="inlineStr"/>
      <c r="H367" s="2" t="inlineStr"/>
      <c r="I367" s="2" t="inlineStr">
        <is>
          <t>Editable</t>
        </is>
      </c>
      <c r="J367" s="2" t="inlineStr"/>
      <c r="K367" s="2" t="inlineStr"/>
      <c r="L367" s="2" t="inlineStr"/>
      <c r="M367" s="2" t="inlineStr"/>
    </row>
    <row r="368">
      <c r="A368" s="2" t="inlineStr">
        <is>
          <t>Page13.CA33</t>
        </is>
      </c>
      <c r="B368" s="2" t="inlineStr">
        <is>
          <t>Page13</t>
        </is>
      </c>
      <c r="C368" s="2" t="inlineStr">
        <is>
          <t>numericEdit</t>
        </is>
      </c>
      <c r="D368" s="2" t="inlineStr"/>
      <c r="E368" s="2" t="inlineStr"/>
      <c r="F368" s="2" t="inlineStr"/>
      <c r="G368" s="2" t="inlineStr"/>
      <c r="H368" s="2" t="inlineStr"/>
      <c r="I368" s="2" t="inlineStr">
        <is>
          <t>Editable</t>
        </is>
      </c>
      <c r="J368" s="2" t="inlineStr"/>
      <c r="K368" s="2" t="inlineStr"/>
      <c r="L368" s="2" t="inlineStr"/>
      <c r="M368" s="2" t="inlineStr"/>
    </row>
    <row r="369">
      <c r="A369" s="2" t="inlineStr">
        <is>
          <t>Page13.CA34</t>
        </is>
      </c>
      <c r="B369" s="2" t="inlineStr">
        <is>
          <t>Page13</t>
        </is>
      </c>
      <c r="C369" s="2" t="inlineStr">
        <is>
          <t>numericEdit</t>
        </is>
      </c>
      <c r="D369" s="2" t="inlineStr"/>
      <c r="E369" s="2" t="inlineStr"/>
      <c r="F369" s="2" t="inlineStr"/>
      <c r="G369" s="2" t="inlineStr"/>
      <c r="H369" s="2" t="inlineStr"/>
      <c r="I369" s="2" t="inlineStr">
        <is>
          <t>Editable</t>
        </is>
      </c>
      <c r="J369" s="2" t="inlineStr"/>
      <c r="K369" s="2" t="inlineStr"/>
      <c r="L369" s="2" t="inlineStr"/>
      <c r="M369" s="2" t="inlineStr"/>
    </row>
    <row r="370">
      <c r="A370" s="2" t="inlineStr">
        <is>
          <t>Page13.CA35</t>
        </is>
      </c>
      <c r="B370" s="2" t="inlineStr">
        <is>
          <t>Page13</t>
        </is>
      </c>
      <c r="C370" s="2" t="inlineStr">
        <is>
          <t>numericEdit</t>
        </is>
      </c>
      <c r="D370" s="2" t="inlineStr"/>
      <c r="E370" s="2" t="inlineStr"/>
      <c r="F370" s="2" t="inlineStr"/>
      <c r="G370" s="2" t="inlineStr"/>
      <c r="H370" s="2" t="inlineStr"/>
      <c r="I370" s="2" t="inlineStr">
        <is>
          <t>Editable</t>
        </is>
      </c>
      <c r="J370" s="2" t="inlineStr"/>
      <c r="K370" s="2" t="inlineStr"/>
      <c r="L370" s="2" t="inlineStr"/>
      <c r="M370" s="2" t="inlineStr"/>
    </row>
    <row r="371">
      <c r="A371" s="2" t="inlineStr">
        <is>
          <t>Page13.CA36</t>
        </is>
      </c>
      <c r="B371" s="2" t="inlineStr">
        <is>
          <t>Page13</t>
        </is>
      </c>
      <c r="C371" s="2" t="inlineStr">
        <is>
          <t>numericEdit</t>
        </is>
      </c>
      <c r="D371" s="2" t="inlineStr"/>
      <c r="E371" s="2" t="inlineStr"/>
      <c r="F371" s="2" t="inlineStr"/>
      <c r="G371" s="2" t="inlineStr"/>
      <c r="H371" s="2" t="inlineStr"/>
      <c r="I371" s="2" t="inlineStr">
        <is>
          <t>Editable</t>
        </is>
      </c>
      <c r="J371" s="2" t="inlineStr"/>
      <c r="K371" s="2" t="inlineStr"/>
      <c r="L371" s="2" t="inlineStr"/>
      <c r="M371" s="2" t="inlineStr"/>
    </row>
    <row r="372">
      <c r="A372" s="2" t="inlineStr">
        <is>
          <t>Page13.CA43</t>
        </is>
      </c>
      <c r="B372" s="2" t="inlineStr">
        <is>
          <t>Page13</t>
        </is>
      </c>
      <c r="C372" s="2" t="inlineStr">
        <is>
          <t>numericEdit</t>
        </is>
      </c>
      <c r="D372" s="2" t="inlineStr"/>
      <c r="E372" s="2" t="inlineStr"/>
      <c r="F372" s="2" t="inlineStr"/>
      <c r="G372" s="2" t="inlineStr"/>
      <c r="H372" s="2" t="inlineStr"/>
      <c r="I372" s="2" t="inlineStr">
        <is>
          <t>Editable</t>
        </is>
      </c>
      <c r="J372" s="2" t="inlineStr"/>
      <c r="K372" s="2" t="inlineStr"/>
      <c r="L372" s="2" t="inlineStr"/>
      <c r="M372" s="2" t="inlineStr"/>
    </row>
    <row r="373">
      <c r="A373" s="2" t="inlineStr">
        <is>
          <t>Page13.CA44</t>
        </is>
      </c>
      <c r="B373" s="2" t="inlineStr">
        <is>
          <t>Page13</t>
        </is>
      </c>
      <c r="C373" s="2" t="inlineStr">
        <is>
          <t>numericEdit</t>
        </is>
      </c>
      <c r="D373" s="2" t="inlineStr"/>
      <c r="E373" s="2" t="inlineStr"/>
      <c r="F373" s="2" t="inlineStr"/>
      <c r="G373" s="2" t="inlineStr"/>
      <c r="H373" s="2" t="inlineStr"/>
      <c r="I373" s="2" t="inlineStr">
        <is>
          <t>Editable</t>
        </is>
      </c>
      <c r="J373" s="2" t="inlineStr"/>
      <c r="K373" s="2" t="inlineStr"/>
      <c r="L373" s="2" t="inlineStr"/>
      <c r="M373" s="2" t="inlineStr"/>
    </row>
    <row r="374">
      <c r="A374" s="2" t="inlineStr">
        <is>
          <t>Page13.CA45</t>
        </is>
      </c>
      <c r="B374" s="2" t="inlineStr">
        <is>
          <t>Page13</t>
        </is>
      </c>
      <c r="C374" s="2" t="inlineStr">
        <is>
          <t>numericEdit</t>
        </is>
      </c>
      <c r="D374" s="2" t="inlineStr"/>
      <c r="E374" s="2" t="inlineStr"/>
      <c r="F374" s="2" t="inlineStr"/>
      <c r="G374" s="2" t="inlineStr"/>
      <c r="H374" s="2" t="inlineStr"/>
      <c r="I374" s="2" t="inlineStr">
        <is>
          <t>Editable</t>
        </is>
      </c>
      <c r="J374" s="2" t="inlineStr"/>
      <c r="K374" s="2" t="inlineStr"/>
      <c r="L374" s="2" t="inlineStr"/>
      <c r="M374" s="2" t="inlineStr"/>
    </row>
    <row r="375">
      <c r="A375" s="2" t="inlineStr">
        <is>
          <t>Page13.CA46</t>
        </is>
      </c>
      <c r="B375" s="2" t="inlineStr">
        <is>
          <t>Page13</t>
        </is>
      </c>
      <c r="C375" s="2" t="inlineStr">
        <is>
          <t>numericEdit</t>
        </is>
      </c>
      <c r="D375" s="2" t="inlineStr"/>
      <c r="E375" s="2" t="inlineStr"/>
      <c r="F375" s="2" t="inlineStr"/>
      <c r="G375" s="2" t="inlineStr"/>
      <c r="H375" s="2" t="inlineStr"/>
      <c r="I375" s="2" t="inlineStr">
        <is>
          <t>Editable</t>
        </is>
      </c>
      <c r="J375" s="2" t="inlineStr"/>
      <c r="K375" s="2" t="inlineStr"/>
      <c r="L375" s="2" t="inlineStr"/>
      <c r="M375" s="2" t="inlineStr"/>
    </row>
    <row r="376">
      <c r="A376" s="2" t="inlineStr">
        <is>
          <t>Page13.CA53</t>
        </is>
      </c>
      <c r="B376" s="2" t="inlineStr">
        <is>
          <t>Page13</t>
        </is>
      </c>
      <c r="C376" s="2" t="inlineStr">
        <is>
          <t>numericEdit</t>
        </is>
      </c>
      <c r="D376" s="2" t="inlineStr"/>
      <c r="E376" s="2" t="inlineStr"/>
      <c r="F376" s="2" t="inlineStr"/>
      <c r="G376" s="2" t="inlineStr"/>
      <c r="H376" s="2" t="inlineStr"/>
      <c r="I376" s="2" t="inlineStr">
        <is>
          <t>Editable</t>
        </is>
      </c>
      <c r="J376" s="2" t="inlineStr"/>
      <c r="K376" s="2" t="inlineStr"/>
      <c r="L376" s="2" t="inlineStr"/>
      <c r="M376" s="2" t="inlineStr"/>
    </row>
    <row r="377">
      <c r="A377" s="2" t="inlineStr">
        <is>
          <t>Page13.CA54</t>
        </is>
      </c>
      <c r="B377" s="2" t="inlineStr">
        <is>
          <t>Page13</t>
        </is>
      </c>
      <c r="C377" s="2" t="inlineStr">
        <is>
          <t>numericEdit</t>
        </is>
      </c>
      <c r="D377" s="2" t="inlineStr"/>
      <c r="E377" s="2" t="inlineStr"/>
      <c r="F377" s="2" t="inlineStr"/>
      <c r="G377" s="2" t="inlineStr"/>
      <c r="H377" s="2" t="inlineStr"/>
      <c r="I377" s="2" t="inlineStr">
        <is>
          <t>Editable</t>
        </is>
      </c>
      <c r="J377" s="2" t="inlineStr"/>
      <c r="K377" s="2" t="inlineStr"/>
      <c r="L377" s="2" t="inlineStr"/>
      <c r="M377" s="2" t="inlineStr"/>
    </row>
    <row r="378">
      <c r="A378" s="2" t="inlineStr">
        <is>
          <t>Page13.CA55</t>
        </is>
      </c>
      <c r="B378" s="2" t="inlineStr">
        <is>
          <t>Page13</t>
        </is>
      </c>
      <c r="C378" s="2" t="inlineStr">
        <is>
          <t>numericEdit</t>
        </is>
      </c>
      <c r="D378" s="2" t="inlineStr"/>
      <c r="E378" s="2" t="inlineStr"/>
      <c r="F378" s="2" t="inlineStr"/>
      <c r="G378" s="2" t="inlineStr"/>
      <c r="H378" s="2" t="inlineStr"/>
      <c r="I378" s="2" t="inlineStr">
        <is>
          <t>Editable</t>
        </is>
      </c>
      <c r="J378" s="2" t="inlineStr"/>
      <c r="K378" s="2" t="inlineStr"/>
      <c r="L378" s="2" t="inlineStr"/>
      <c r="M378" s="2" t="inlineStr"/>
    </row>
    <row r="379">
      <c r="A379" s="2" t="inlineStr">
        <is>
          <t>Page13.CA56</t>
        </is>
      </c>
      <c r="B379" s="2" t="inlineStr">
        <is>
          <t>Page13</t>
        </is>
      </c>
      <c r="C379" s="2" t="inlineStr">
        <is>
          <t>numericEdit</t>
        </is>
      </c>
      <c r="D379" s="2" t="inlineStr"/>
      <c r="E379" s="2" t="inlineStr"/>
      <c r="F379" s="2" t="inlineStr"/>
      <c r="G379" s="2" t="inlineStr"/>
      <c r="H379" s="2" t="inlineStr"/>
      <c r="I379" s="2" t="inlineStr">
        <is>
          <t>Editable</t>
        </is>
      </c>
      <c r="J379" s="2" t="inlineStr"/>
      <c r="K379" s="2" t="inlineStr"/>
      <c r="L379" s="2" t="inlineStr"/>
      <c r="M379" s="2" t="inlineStr"/>
    </row>
    <row r="380">
      <c r="A380" s="2" t="inlineStr">
        <is>
          <t>Page13.CA63</t>
        </is>
      </c>
      <c r="B380" s="2" t="inlineStr">
        <is>
          <t>Page13</t>
        </is>
      </c>
      <c r="C380" s="2" t="inlineStr">
        <is>
          <t>numericEdit</t>
        </is>
      </c>
      <c r="D380" s="2" t="inlineStr"/>
      <c r="E380" s="2" t="inlineStr"/>
      <c r="F380" s="2" t="inlineStr"/>
      <c r="G380" s="2" t="inlineStr"/>
      <c r="H380" s="2" t="inlineStr"/>
      <c r="I380" s="2" t="inlineStr">
        <is>
          <t>Editable</t>
        </is>
      </c>
      <c r="J380" s="2" t="inlineStr"/>
      <c r="K380" s="2" t="inlineStr"/>
      <c r="L380" s="2" t="inlineStr"/>
      <c r="M380" s="2" t="inlineStr"/>
    </row>
    <row r="381">
      <c r="A381" s="2" t="inlineStr">
        <is>
          <t>Page13.CA64</t>
        </is>
      </c>
      <c r="B381" s="2" t="inlineStr">
        <is>
          <t>Page13</t>
        </is>
      </c>
      <c r="C381" s="2" t="inlineStr">
        <is>
          <t>numericEdit</t>
        </is>
      </c>
      <c r="D381" s="2" t="inlineStr"/>
      <c r="E381" s="2" t="inlineStr"/>
      <c r="F381" s="2" t="inlineStr"/>
      <c r="G381" s="2" t="inlineStr"/>
      <c r="H381" s="2" t="inlineStr"/>
      <c r="I381" s="2" t="inlineStr">
        <is>
          <t>Editable</t>
        </is>
      </c>
      <c r="J381" s="2" t="inlineStr"/>
      <c r="K381" s="2" t="inlineStr"/>
      <c r="L381" s="2" t="inlineStr"/>
      <c r="M381" s="2" t="inlineStr"/>
    </row>
    <row r="382">
      <c r="A382" s="2" t="inlineStr">
        <is>
          <t>Page13.CA65</t>
        </is>
      </c>
      <c r="B382" s="2" t="inlineStr">
        <is>
          <t>Page13</t>
        </is>
      </c>
      <c r="C382" s="2" t="inlineStr">
        <is>
          <t>numericEdit</t>
        </is>
      </c>
      <c r="D382" s="2" t="inlineStr"/>
      <c r="E382" s="2" t="inlineStr"/>
      <c r="F382" s="2" t="inlineStr"/>
      <c r="G382" s="2" t="inlineStr"/>
      <c r="H382" s="2" t="inlineStr"/>
      <c r="I382" s="2" t="inlineStr">
        <is>
          <t>Editable</t>
        </is>
      </c>
      <c r="J382" s="2" t="inlineStr"/>
      <c r="K382" s="2" t="inlineStr"/>
      <c r="L382" s="2" t="inlineStr"/>
      <c r="M382" s="2" t="inlineStr"/>
    </row>
    <row r="383">
      <c r="A383" s="2" t="inlineStr">
        <is>
          <t>Page13.CA66</t>
        </is>
      </c>
      <c r="B383" s="2" t="inlineStr">
        <is>
          <t>Page13</t>
        </is>
      </c>
      <c r="C383" s="2" t="inlineStr">
        <is>
          <t>numericEdit</t>
        </is>
      </c>
      <c r="D383" s="2" t="inlineStr"/>
      <c r="E383" s="2" t="inlineStr"/>
      <c r="F383" s="2" t="inlineStr"/>
      <c r="G383" s="2" t="inlineStr"/>
      <c r="H383" s="2" t="inlineStr"/>
      <c r="I383" s="2" t="inlineStr">
        <is>
          <t>Editable</t>
        </is>
      </c>
      <c r="J383" s="2" t="inlineStr"/>
      <c r="K383" s="2" t="inlineStr"/>
      <c r="L383" s="2" t="inlineStr"/>
      <c r="M383" s="2" t="inlineStr"/>
    </row>
    <row r="384">
      <c r="A384" s="2" t="inlineStr">
        <is>
          <t>Page13.CA73</t>
        </is>
      </c>
      <c r="B384" s="2" t="inlineStr">
        <is>
          <t>Page13</t>
        </is>
      </c>
      <c r="C384" s="2" t="inlineStr">
        <is>
          <t>numericEdit</t>
        </is>
      </c>
      <c r="D384" s="2" t="inlineStr"/>
      <c r="E384" s="2" t="inlineStr"/>
      <c r="F384" s="2" t="inlineStr"/>
      <c r="G384" s="2" t="inlineStr"/>
      <c r="H384" s="2" t="inlineStr"/>
      <c r="I384" s="2" t="inlineStr">
        <is>
          <t>Editable</t>
        </is>
      </c>
      <c r="J384" s="2" t="inlineStr"/>
      <c r="K384" s="2" t="inlineStr"/>
      <c r="L384" s="2" t="inlineStr"/>
      <c r="M384" s="2" t="inlineStr"/>
    </row>
    <row r="385">
      <c r="A385" s="2" t="inlineStr">
        <is>
          <t>Page13.CA74</t>
        </is>
      </c>
      <c r="B385" s="2" t="inlineStr">
        <is>
          <t>Page13</t>
        </is>
      </c>
      <c r="C385" s="2" t="inlineStr">
        <is>
          <t>numericEdit</t>
        </is>
      </c>
      <c r="D385" s="2" t="inlineStr"/>
      <c r="E385" s="2" t="inlineStr"/>
      <c r="F385" s="2" t="inlineStr"/>
      <c r="G385" s="2" t="inlineStr"/>
      <c r="H385" s="2" t="inlineStr"/>
      <c r="I385" s="2" t="inlineStr">
        <is>
          <t>Editable</t>
        </is>
      </c>
      <c r="J385" s="2" t="inlineStr"/>
      <c r="K385" s="2" t="inlineStr"/>
      <c r="L385" s="2" t="inlineStr"/>
      <c r="M385" s="2" t="inlineStr"/>
    </row>
    <row r="386">
      <c r="A386" s="2" t="inlineStr">
        <is>
          <t>Page13.CA75</t>
        </is>
      </c>
      <c r="B386" s="2" t="inlineStr">
        <is>
          <t>Page13</t>
        </is>
      </c>
      <c r="C386" s="2" t="inlineStr">
        <is>
          <t>numericEdit</t>
        </is>
      </c>
      <c r="D386" s="2" t="inlineStr"/>
      <c r="E386" s="2" t="inlineStr"/>
      <c r="F386" s="2" t="inlineStr"/>
      <c r="G386" s="2" t="inlineStr"/>
      <c r="H386" s="2" t="inlineStr"/>
      <c r="I386" s="2" t="inlineStr">
        <is>
          <t>Editable</t>
        </is>
      </c>
      <c r="J386" s="2" t="inlineStr"/>
      <c r="K386" s="2" t="inlineStr"/>
      <c r="L386" s="2" t="inlineStr"/>
      <c r="M386" s="2" t="inlineStr"/>
    </row>
    <row r="387">
      <c r="A387" s="2" t="inlineStr">
        <is>
          <t>Page13.CA76</t>
        </is>
      </c>
      <c r="B387" s="2" t="inlineStr">
        <is>
          <t>Page13</t>
        </is>
      </c>
      <c r="C387" s="2" t="inlineStr">
        <is>
          <t>numericEdit</t>
        </is>
      </c>
      <c r="D387" s="2" t="inlineStr"/>
      <c r="E387" s="2" t="inlineStr"/>
      <c r="F387" s="2" t="inlineStr"/>
      <c r="G387" s="2" t="inlineStr"/>
      <c r="H387" s="2" t="inlineStr"/>
      <c r="I387" s="2" t="inlineStr">
        <is>
          <t>Editable</t>
        </is>
      </c>
      <c r="J387" s="2" t="inlineStr"/>
      <c r="K387" s="2" t="inlineStr"/>
      <c r="L387" s="2" t="inlineStr"/>
      <c r="M387" s="2" t="inlineStr"/>
    </row>
    <row r="388">
      <c r="A388" s="2" t="inlineStr">
        <is>
          <t>Page13.C179</t>
        </is>
      </c>
      <c r="B388" s="2" t="inlineStr">
        <is>
          <t>Page13</t>
        </is>
      </c>
      <c r="C388" s="2" t="inlineStr">
        <is>
          <t>numericEdit</t>
        </is>
      </c>
      <c r="D388" s="2" t="inlineStr"/>
      <c r="E388" s="2" t="inlineStr"/>
      <c r="F388" s="2" t="inlineStr"/>
      <c r="G388" s="2" t="inlineStr"/>
      <c r="H388" s="2" t="inlineStr"/>
      <c r="I388" s="2" t="inlineStr">
        <is>
          <t>Editable</t>
        </is>
      </c>
      <c r="J388" s="2" t="inlineStr"/>
      <c r="K388" s="2" t="inlineStr"/>
      <c r="L388" s="2" t="inlineStr"/>
      <c r="M388" s="2" t="inlineStr"/>
    </row>
    <row r="389">
      <c r="A389" s="2" t="inlineStr">
        <is>
          <t>Page13.CA84</t>
        </is>
      </c>
      <c r="B389" s="2" t="inlineStr">
        <is>
          <t>Page13</t>
        </is>
      </c>
      <c r="C389" s="2" t="inlineStr">
        <is>
          <t>numericEdit</t>
        </is>
      </c>
      <c r="D389" s="2" t="inlineStr"/>
      <c r="E389" s="2" t="inlineStr"/>
      <c r="F389" s="2" t="inlineStr"/>
      <c r="G389" s="2" t="inlineStr"/>
      <c r="H389" s="2" t="inlineStr"/>
      <c r="I389" s="2" t="inlineStr">
        <is>
          <t>Editable</t>
        </is>
      </c>
      <c r="J389" s="2" t="inlineStr"/>
      <c r="K389" s="2" t="inlineStr"/>
      <c r="L389" s="2" t="inlineStr"/>
      <c r="M389" s="2" t="inlineStr"/>
    </row>
    <row r="390">
      <c r="A390" s="2" t="inlineStr">
        <is>
          <t>Page13.CA85</t>
        </is>
      </c>
      <c r="B390" s="2" t="inlineStr">
        <is>
          <t>Page13</t>
        </is>
      </c>
      <c r="C390" s="2" t="inlineStr">
        <is>
          <t>numericEdit</t>
        </is>
      </c>
      <c r="D390" s="2" t="inlineStr"/>
      <c r="E390" s="2" t="inlineStr"/>
      <c r="F390" s="2" t="inlineStr"/>
      <c r="G390" s="2" t="inlineStr"/>
      <c r="H390" s="2" t="inlineStr"/>
      <c r="I390" s="2" t="inlineStr">
        <is>
          <t>Editable</t>
        </is>
      </c>
      <c r="J390" s="2" t="inlineStr"/>
      <c r="K390" s="2" t="inlineStr"/>
      <c r="L390" s="2" t="inlineStr"/>
      <c r="M390" s="2" t="inlineStr"/>
    </row>
    <row r="391">
      <c r="A391" s="2" t="inlineStr">
        <is>
          <t>Page13.CA86</t>
        </is>
      </c>
      <c r="B391" s="2" t="inlineStr">
        <is>
          <t>Page13</t>
        </is>
      </c>
      <c r="C391" s="2" t="inlineStr">
        <is>
          <t>numericEdit</t>
        </is>
      </c>
      <c r="D391" s="2" t="inlineStr"/>
      <c r="E391" s="2" t="inlineStr"/>
      <c r="F391" s="2" t="inlineStr"/>
      <c r="G391" s="2" t="inlineStr"/>
      <c r="H391" s="2" t="inlineStr"/>
      <c r="I391" s="2" t="inlineStr">
        <is>
          <t>Editable</t>
        </is>
      </c>
      <c r="J391" s="2" t="inlineStr"/>
      <c r="K391" s="2" t="inlineStr"/>
      <c r="L391" s="2" t="inlineStr"/>
      <c r="M391" s="2" t="inlineStr"/>
    </row>
    <row r="392">
      <c r="A392" s="2" t="inlineStr">
        <is>
          <t>Page13.CA93</t>
        </is>
      </c>
      <c r="B392" s="2" t="inlineStr">
        <is>
          <t>Page13</t>
        </is>
      </c>
      <c r="C392" s="2" t="inlineStr">
        <is>
          <t>numericEdit</t>
        </is>
      </c>
      <c r="D392" s="2" t="inlineStr"/>
      <c r="E392" s="2" t="inlineStr"/>
      <c r="F392" s="2" t="inlineStr"/>
      <c r="G392" s="2" t="inlineStr"/>
      <c r="H392" s="2" t="inlineStr"/>
      <c r="I392" s="2" t="inlineStr">
        <is>
          <t>Editable</t>
        </is>
      </c>
      <c r="J392" s="2" t="inlineStr"/>
      <c r="K392" s="2" t="inlineStr"/>
      <c r="L392" s="2" t="inlineStr"/>
      <c r="M392" s="2" t="inlineStr"/>
    </row>
    <row r="393">
      <c r="A393" s="2" t="inlineStr">
        <is>
          <t>Page13.CA94</t>
        </is>
      </c>
      <c r="B393" s="2" t="inlineStr">
        <is>
          <t>Page13</t>
        </is>
      </c>
      <c r="C393" s="2" t="inlineStr">
        <is>
          <t>numericEdit</t>
        </is>
      </c>
      <c r="D393" s="2" t="inlineStr"/>
      <c r="E393" s="2" t="inlineStr"/>
      <c r="F393" s="2" t="inlineStr"/>
      <c r="G393" s="2" t="inlineStr"/>
      <c r="H393" s="2" t="inlineStr"/>
      <c r="I393" s="2" t="inlineStr">
        <is>
          <t>Editable</t>
        </is>
      </c>
      <c r="J393" s="2" t="inlineStr"/>
      <c r="K393" s="2" t="inlineStr"/>
      <c r="L393" s="2" t="inlineStr"/>
      <c r="M393" s="2" t="inlineStr"/>
    </row>
    <row r="394">
      <c r="A394" s="2" t="inlineStr">
        <is>
          <t>Page13.CA95</t>
        </is>
      </c>
      <c r="B394" s="2" t="inlineStr">
        <is>
          <t>Page13</t>
        </is>
      </c>
      <c r="C394" s="2" t="inlineStr">
        <is>
          <t>numericEdit</t>
        </is>
      </c>
      <c r="D394" s="2" t="inlineStr"/>
      <c r="E394" s="2" t="inlineStr"/>
      <c r="F394" s="2" t="inlineStr"/>
      <c r="G394" s="2" t="inlineStr"/>
      <c r="H394" s="2" t="inlineStr"/>
      <c r="I394" s="2" t="inlineStr">
        <is>
          <t>Editable</t>
        </is>
      </c>
      <c r="J394" s="2" t="inlineStr"/>
      <c r="K394" s="2" t="inlineStr"/>
      <c r="L394" s="2" t="inlineStr"/>
      <c r="M394" s="2" t="inlineStr"/>
    </row>
    <row r="395">
      <c r="A395" s="2" t="inlineStr">
        <is>
          <t>Page13.CA96</t>
        </is>
      </c>
      <c r="B395" s="2" t="inlineStr">
        <is>
          <t>Page13</t>
        </is>
      </c>
      <c r="C395" s="2" t="inlineStr">
        <is>
          <t>numericEdit</t>
        </is>
      </c>
      <c r="D395" s="2" t="inlineStr"/>
      <c r="E395" s="2" t="inlineStr"/>
      <c r="F395" s="2" t="inlineStr"/>
      <c r="G395" s="2" t="inlineStr"/>
      <c r="H395" s="2" t="inlineStr"/>
      <c r="I395" s="2" t="inlineStr">
        <is>
          <t>Editable</t>
        </is>
      </c>
      <c r="J395" s="2" t="inlineStr"/>
      <c r="K395" s="2" t="inlineStr"/>
      <c r="L395" s="2" t="inlineStr"/>
      <c r="M395" s="2" t="inlineStr"/>
    </row>
    <row r="396">
      <c r="A396" s="2" t="inlineStr">
        <is>
          <t>Page13.CA103</t>
        </is>
      </c>
      <c r="B396" s="2" t="inlineStr">
        <is>
          <t>Page13</t>
        </is>
      </c>
      <c r="C396" s="2" t="inlineStr">
        <is>
          <t>numericEdit</t>
        </is>
      </c>
      <c r="D396" s="2" t="inlineStr"/>
      <c r="E396" s="2" t="inlineStr"/>
      <c r="F396" s="2" t="inlineStr"/>
      <c r="G396" s="2" t="inlineStr"/>
      <c r="H396" s="2" t="inlineStr"/>
      <c r="I396" s="2" t="inlineStr">
        <is>
          <t>Editable</t>
        </is>
      </c>
      <c r="J396" s="2" t="inlineStr"/>
      <c r="K396" s="2" t="inlineStr"/>
      <c r="L396" s="2" t="inlineStr"/>
      <c r="M396" s="2" t="inlineStr"/>
    </row>
    <row r="397">
      <c r="A397" s="2" t="inlineStr">
        <is>
          <t>Page13.CA104</t>
        </is>
      </c>
      <c r="B397" s="2" t="inlineStr">
        <is>
          <t>Page13</t>
        </is>
      </c>
      <c r="C397" s="2" t="inlineStr">
        <is>
          <t>numericEdit</t>
        </is>
      </c>
      <c r="D397" s="2" t="inlineStr"/>
      <c r="E397" s="2" t="inlineStr"/>
      <c r="F397" s="2" t="inlineStr"/>
      <c r="G397" s="2" t="inlineStr"/>
      <c r="H397" s="2" t="inlineStr"/>
      <c r="I397" s="2" t="inlineStr">
        <is>
          <t>Editable</t>
        </is>
      </c>
      <c r="J397" s="2" t="inlineStr"/>
      <c r="K397" s="2" t="inlineStr"/>
      <c r="L397" s="2" t="inlineStr"/>
      <c r="M397" s="2" t="inlineStr"/>
    </row>
    <row r="398">
      <c r="A398" s="2" t="inlineStr">
        <is>
          <t>Page13.CA105</t>
        </is>
      </c>
      <c r="B398" s="2" t="inlineStr">
        <is>
          <t>Page13</t>
        </is>
      </c>
      <c r="C398" s="2" t="inlineStr">
        <is>
          <t>numericEdit</t>
        </is>
      </c>
      <c r="D398" s="2" t="inlineStr"/>
      <c r="E398" s="2" t="inlineStr"/>
      <c r="F398" s="2" t="inlineStr"/>
      <c r="G398" s="2" t="inlineStr"/>
      <c r="H398" s="2" t="inlineStr"/>
      <c r="I398" s="2" t="inlineStr">
        <is>
          <t>Editable</t>
        </is>
      </c>
      <c r="J398" s="2" t="inlineStr"/>
      <c r="K398" s="2" t="inlineStr"/>
      <c r="L398" s="2" t="inlineStr"/>
      <c r="M398" s="2" t="inlineStr"/>
    </row>
    <row r="399">
      <c r="A399" s="2" t="inlineStr">
        <is>
          <t>Page13.CA106</t>
        </is>
      </c>
      <c r="B399" s="2" t="inlineStr">
        <is>
          <t>Page13</t>
        </is>
      </c>
      <c r="C399" s="2" t="inlineStr">
        <is>
          <t>numericEdit</t>
        </is>
      </c>
      <c r="D399" s="2" t="inlineStr"/>
      <c r="E399" s="2" t="inlineStr"/>
      <c r="F399" s="2" t="inlineStr"/>
      <c r="G399" s="2" t="inlineStr"/>
      <c r="H399" s="2" t="inlineStr"/>
      <c r="I399" s="2" t="inlineStr">
        <is>
          <t>Editable</t>
        </is>
      </c>
      <c r="J399" s="2" t="inlineStr"/>
      <c r="K399" s="2" t="inlineStr"/>
      <c r="L399" s="2" t="inlineStr"/>
      <c r="M399" s="2" t="inlineStr"/>
    </row>
    <row r="400">
      <c r="A400" s="2" t="inlineStr">
        <is>
          <t>Page13.CA113</t>
        </is>
      </c>
      <c r="B400" s="2" t="inlineStr">
        <is>
          <t>Page13</t>
        </is>
      </c>
      <c r="C400" s="2" t="inlineStr">
        <is>
          <t>numericEdit</t>
        </is>
      </c>
      <c r="D400" s="2" t="inlineStr"/>
      <c r="E400" s="2" t="inlineStr"/>
      <c r="F400" s="2" t="inlineStr"/>
      <c r="G400" s="2" t="inlineStr"/>
      <c r="H400" s="2" t="inlineStr"/>
      <c r="I400" s="2" t="inlineStr">
        <is>
          <t>Editable</t>
        </is>
      </c>
      <c r="J400" s="2" t="inlineStr"/>
      <c r="K400" s="2" t="inlineStr"/>
      <c r="L400" s="2" t="inlineStr"/>
      <c r="M400" s="2" t="inlineStr"/>
    </row>
    <row r="401">
      <c r="A401" s="2" t="inlineStr">
        <is>
          <t>Page13.CA114</t>
        </is>
      </c>
      <c r="B401" s="2" t="inlineStr">
        <is>
          <t>Page13</t>
        </is>
      </c>
      <c r="C401" s="2" t="inlineStr">
        <is>
          <t>numericEdit</t>
        </is>
      </c>
      <c r="D401" s="2" t="inlineStr"/>
      <c r="E401" s="2" t="inlineStr"/>
      <c r="F401" s="2" t="inlineStr"/>
      <c r="G401" s="2" t="inlineStr"/>
      <c r="H401" s="2" t="inlineStr"/>
      <c r="I401" s="2" t="inlineStr">
        <is>
          <t>Editable</t>
        </is>
      </c>
      <c r="J401" s="2" t="inlineStr"/>
      <c r="K401" s="2" t="inlineStr"/>
      <c r="L401" s="2" t="inlineStr"/>
      <c r="M401" s="2" t="inlineStr"/>
    </row>
    <row r="402">
      <c r="A402" s="2" t="inlineStr">
        <is>
          <t>Page13.CA115</t>
        </is>
      </c>
      <c r="B402" s="2" t="inlineStr">
        <is>
          <t>Page13</t>
        </is>
      </c>
      <c r="C402" s="2" t="inlineStr">
        <is>
          <t>numericEdit</t>
        </is>
      </c>
      <c r="D402" s="2" t="inlineStr"/>
      <c r="E402" s="2" t="inlineStr"/>
      <c r="F402" s="2" t="inlineStr"/>
      <c r="G402" s="2" t="inlineStr"/>
      <c r="H402" s="2" t="inlineStr"/>
      <c r="I402" s="2" t="inlineStr">
        <is>
          <t>Editable</t>
        </is>
      </c>
      <c r="J402" s="2" t="inlineStr"/>
      <c r="K402" s="2" t="inlineStr"/>
      <c r="L402" s="2" t="inlineStr"/>
      <c r="M402" s="2" t="inlineStr"/>
    </row>
    <row r="403">
      <c r="A403" s="2" t="inlineStr">
        <is>
          <t>Page13.CA116</t>
        </is>
      </c>
      <c r="B403" s="2" t="inlineStr">
        <is>
          <t>Page13</t>
        </is>
      </c>
      <c r="C403" s="2" t="inlineStr">
        <is>
          <t>numericEdit</t>
        </is>
      </c>
      <c r="D403" s="2" t="inlineStr"/>
      <c r="E403" s="2" t="inlineStr"/>
      <c r="F403" s="2" t="inlineStr"/>
      <c r="G403" s="2" t="inlineStr"/>
      <c r="H403" s="2" t="inlineStr"/>
      <c r="I403" s="2" t="inlineStr">
        <is>
          <t>Editable</t>
        </is>
      </c>
      <c r="J403" s="2" t="inlineStr"/>
      <c r="K403" s="2" t="inlineStr"/>
      <c r="L403" s="2" t="inlineStr"/>
      <c r="M403" s="2" t="inlineStr"/>
    </row>
    <row r="404">
      <c r="A404" s="2" t="inlineStr">
        <is>
          <t>Page13.CA123</t>
        </is>
      </c>
      <c r="B404" s="2" t="inlineStr">
        <is>
          <t>Page13</t>
        </is>
      </c>
      <c r="C404" s="2" t="inlineStr">
        <is>
          <t>numericEdit</t>
        </is>
      </c>
      <c r="D404" s="2" t="inlineStr"/>
      <c r="E404" s="2" t="inlineStr"/>
      <c r="F404" s="2" t="inlineStr"/>
      <c r="G404" s="2" t="inlineStr"/>
      <c r="H404" s="2" t="inlineStr"/>
      <c r="I404" s="2" t="inlineStr">
        <is>
          <t>Editable</t>
        </is>
      </c>
      <c r="J404" s="2" t="inlineStr"/>
      <c r="K404" s="2" t="inlineStr"/>
      <c r="L404" s="2" t="inlineStr"/>
      <c r="M404" s="2" t="inlineStr"/>
    </row>
    <row r="405">
      <c r="A405" s="2" t="inlineStr">
        <is>
          <t>Page13.CA124</t>
        </is>
      </c>
      <c r="B405" s="2" t="inlineStr">
        <is>
          <t>Page13</t>
        </is>
      </c>
      <c r="C405" s="2" t="inlineStr">
        <is>
          <t>numericEdit</t>
        </is>
      </c>
      <c r="D405" s="2" t="inlineStr"/>
      <c r="E405" s="2" t="inlineStr"/>
      <c r="F405" s="2" t="inlineStr"/>
      <c r="G405" s="2" t="inlineStr"/>
      <c r="H405" s="2" t="inlineStr"/>
      <c r="I405" s="2" t="inlineStr">
        <is>
          <t>Editable</t>
        </is>
      </c>
      <c r="J405" s="2" t="inlineStr"/>
      <c r="K405" s="2" t="inlineStr"/>
      <c r="L405" s="2" t="inlineStr"/>
      <c r="M405" s="2" t="inlineStr"/>
    </row>
    <row r="406">
      <c r="A406" s="2" t="inlineStr">
        <is>
          <t>Page13.CA125</t>
        </is>
      </c>
      <c r="B406" s="2" t="inlineStr">
        <is>
          <t>Page13</t>
        </is>
      </c>
      <c r="C406" s="2" t="inlineStr">
        <is>
          <t>numericEdit</t>
        </is>
      </c>
      <c r="D406" s="2" t="inlineStr"/>
      <c r="E406" s="2" t="inlineStr"/>
      <c r="F406" s="2" t="inlineStr"/>
      <c r="G406" s="2" t="inlineStr"/>
      <c r="H406" s="2" t="inlineStr"/>
      <c r="I406" s="2" t="inlineStr">
        <is>
          <t>Editable</t>
        </is>
      </c>
      <c r="J406" s="2" t="inlineStr"/>
      <c r="K406" s="2" t="inlineStr"/>
      <c r="L406" s="2" t="inlineStr"/>
      <c r="M406" s="2" t="inlineStr"/>
    </row>
    <row r="407">
      <c r="A407" s="2" t="inlineStr">
        <is>
          <t>Page13.CA126</t>
        </is>
      </c>
      <c r="B407" s="2" t="inlineStr">
        <is>
          <t>Page13</t>
        </is>
      </c>
      <c r="C407" s="2" t="inlineStr">
        <is>
          <t>numericEdit</t>
        </is>
      </c>
      <c r="D407" s="2" t="inlineStr"/>
      <c r="E407" s="2" t="inlineStr"/>
      <c r="F407" s="2" t="inlineStr"/>
      <c r="G407" s="2" t="inlineStr"/>
      <c r="H407" s="2" t="inlineStr"/>
      <c r="I407" s="2" t="inlineStr">
        <is>
          <t>Editable</t>
        </is>
      </c>
      <c r="J407" s="2" t="inlineStr"/>
      <c r="K407" s="2" t="inlineStr"/>
      <c r="L407" s="2" t="inlineStr"/>
      <c r="M407" s="2" t="inlineStr"/>
    </row>
    <row r="408">
      <c r="A408" s="2" t="inlineStr">
        <is>
          <t>Page13.CA133</t>
        </is>
      </c>
      <c r="B408" s="2" t="inlineStr">
        <is>
          <t>Page13</t>
        </is>
      </c>
      <c r="C408" s="2" t="inlineStr">
        <is>
          <t>numericEdit</t>
        </is>
      </c>
      <c r="D408" s="2" t="inlineStr"/>
      <c r="E408" s="2" t="inlineStr"/>
      <c r="F408" s="2" t="inlineStr"/>
      <c r="G408" s="2" t="inlineStr"/>
      <c r="H408" s="2" t="inlineStr"/>
      <c r="I408" s="2" t="inlineStr">
        <is>
          <t>Editable</t>
        </is>
      </c>
      <c r="J408" s="2" t="inlineStr"/>
      <c r="K408" s="2" t="inlineStr"/>
      <c r="L408" s="2" t="inlineStr"/>
      <c r="M408" s="2" t="inlineStr"/>
    </row>
    <row r="409">
      <c r="A409" s="2" t="inlineStr">
        <is>
          <t>Page13.CA134</t>
        </is>
      </c>
      <c r="B409" s="2" t="inlineStr">
        <is>
          <t>Page13</t>
        </is>
      </c>
      <c r="C409" s="2" t="inlineStr">
        <is>
          <t>numericEdit</t>
        </is>
      </c>
      <c r="D409" s="2" t="inlineStr"/>
      <c r="E409" s="2" t="inlineStr"/>
      <c r="F409" s="2" t="inlineStr"/>
      <c r="G409" s="2" t="inlineStr"/>
      <c r="H409" s="2" t="inlineStr"/>
      <c r="I409" s="2" t="inlineStr">
        <is>
          <t>Editable</t>
        </is>
      </c>
      <c r="J409" s="2" t="inlineStr"/>
      <c r="K409" s="2" t="inlineStr"/>
      <c r="L409" s="2" t="inlineStr"/>
      <c r="M409" s="2" t="inlineStr"/>
    </row>
    <row r="410">
      <c r="A410" s="2" t="inlineStr">
        <is>
          <t>Page13.CA135</t>
        </is>
      </c>
      <c r="B410" s="2" t="inlineStr">
        <is>
          <t>Page13</t>
        </is>
      </c>
      <c r="C410" s="2" t="inlineStr">
        <is>
          <t>numericEdit</t>
        </is>
      </c>
      <c r="D410" s="2" t="inlineStr"/>
      <c r="E410" s="2" t="inlineStr"/>
      <c r="F410" s="2" t="inlineStr"/>
      <c r="G410" s="2" t="inlineStr"/>
      <c r="H410" s="2" t="inlineStr"/>
      <c r="I410" s="2" t="inlineStr">
        <is>
          <t>Editable</t>
        </is>
      </c>
      <c r="J410" s="2" t="inlineStr"/>
      <c r="K410" s="2" t="inlineStr"/>
      <c r="L410" s="2" t="inlineStr"/>
      <c r="M410" s="2" t="inlineStr"/>
    </row>
    <row r="411">
      <c r="A411" s="2" t="inlineStr">
        <is>
          <t>Page13.CA136</t>
        </is>
      </c>
      <c r="B411" s="2" t="inlineStr">
        <is>
          <t>Page13</t>
        </is>
      </c>
      <c r="C411" s="2" t="inlineStr">
        <is>
          <t>numericEdit</t>
        </is>
      </c>
      <c r="D411" s="2" t="inlineStr"/>
      <c r="E411" s="2" t="inlineStr"/>
      <c r="F411" s="2" t="inlineStr"/>
      <c r="G411" s="2" t="inlineStr"/>
      <c r="H411" s="2" t="inlineStr"/>
      <c r="I411" s="2" t="inlineStr">
        <is>
          <t>Editable</t>
        </is>
      </c>
      <c r="J411" s="2" t="inlineStr"/>
      <c r="K411" s="2" t="inlineStr"/>
      <c r="L411" s="2" t="inlineStr"/>
      <c r="M411" s="2" t="inlineStr"/>
    </row>
    <row r="412">
      <c r="A412" s="2" t="inlineStr">
        <is>
          <t>Page13.CATotal</t>
        </is>
      </c>
      <c r="B412" s="2" t="inlineStr">
        <is>
          <t>Page13</t>
        </is>
      </c>
      <c r="C412" s="2" t="inlineStr">
        <is>
          <t>numericEdit</t>
        </is>
      </c>
      <c r="D412" s="2" t="inlineStr"/>
      <c r="E412" s="2" t="inlineStr"/>
      <c r="F412" s="2" t="inlineStr"/>
      <c r="G412" s="2" t="inlineStr"/>
      <c r="H412" s="2" t="inlineStr">
        <is>
          <t>num{zzzzzzzzzzzzzz9.99}</t>
        </is>
      </c>
      <c r="I412" s="2" t="inlineStr">
        <is>
          <t>Read-only</t>
        </is>
      </c>
      <c r="J412" s="2" t="inlineStr">
        <is>
          <t>Yes</t>
        </is>
      </c>
      <c r="K412" s="2" t="inlineStr"/>
      <c r="L412" s="2" t="inlineStr"/>
      <c r="M412" s="2" t="inlineStr"/>
    </row>
    <row r="413">
      <c r="A413" s="2" t="inlineStr">
        <is>
          <t>Page13.CA12</t>
        </is>
      </c>
      <c r="B413" s="2" t="inlineStr">
        <is>
          <t>Page13</t>
        </is>
      </c>
      <c r="C413" s="2" t="inlineStr">
        <is>
          <t>numericEdit</t>
        </is>
      </c>
      <c r="D413" s="2" t="inlineStr"/>
      <c r="E413" s="2" t="inlineStr"/>
      <c r="F413" s="2" t="inlineStr"/>
      <c r="G413" s="2" t="inlineStr"/>
      <c r="H413" s="2" t="inlineStr"/>
      <c r="I413" s="2" t="inlineStr">
        <is>
          <t>Editable</t>
        </is>
      </c>
      <c r="J413" s="2" t="inlineStr"/>
      <c r="K413" s="2" t="inlineStr"/>
      <c r="L413" s="2" t="inlineStr"/>
      <c r="M413" s="2" t="inlineStr"/>
    </row>
    <row r="414">
      <c r="A414" s="2" t="inlineStr">
        <is>
          <t>Page13.CA22</t>
        </is>
      </c>
      <c r="B414" s="2" t="inlineStr">
        <is>
          <t>Page13</t>
        </is>
      </c>
      <c r="C414" s="2" t="inlineStr">
        <is>
          <t>numericEdit</t>
        </is>
      </c>
      <c r="D414" s="2" t="inlineStr"/>
      <c r="E414" s="2" t="inlineStr"/>
      <c r="F414" s="2" t="inlineStr"/>
      <c r="G414" s="2" t="inlineStr"/>
      <c r="H414" s="2" t="inlineStr"/>
      <c r="I414" s="2" t="inlineStr">
        <is>
          <t>Editable</t>
        </is>
      </c>
      <c r="J414" s="2" t="inlineStr"/>
      <c r="K414" s="2" t="inlineStr"/>
      <c r="L414" s="2" t="inlineStr"/>
      <c r="M414" s="2" t="inlineStr"/>
    </row>
    <row r="415">
      <c r="A415" s="2" t="inlineStr">
        <is>
          <t>Page13.CA32</t>
        </is>
      </c>
      <c r="B415" s="2" t="inlineStr">
        <is>
          <t>Page13</t>
        </is>
      </c>
      <c r="C415" s="2" t="inlineStr">
        <is>
          <t>numericEdit</t>
        </is>
      </c>
      <c r="D415" s="2" t="inlineStr"/>
      <c r="E415" s="2" t="inlineStr"/>
      <c r="F415" s="2" t="inlineStr"/>
      <c r="G415" s="2" t="inlineStr"/>
      <c r="H415" s="2" t="inlineStr"/>
      <c r="I415" s="2" t="inlineStr">
        <is>
          <t>Editable</t>
        </is>
      </c>
      <c r="J415" s="2" t="inlineStr"/>
      <c r="K415" s="2" t="inlineStr"/>
      <c r="L415" s="2" t="inlineStr"/>
      <c r="M415" s="2" t="inlineStr"/>
    </row>
    <row r="416">
      <c r="A416" s="2" t="inlineStr">
        <is>
          <t>Page13.CA42</t>
        </is>
      </c>
      <c r="B416" s="2" t="inlineStr">
        <is>
          <t>Page13</t>
        </is>
      </c>
      <c r="C416" s="2" t="inlineStr">
        <is>
          <t>numericEdit</t>
        </is>
      </c>
      <c r="D416" s="2" t="inlineStr"/>
      <c r="E416" s="2" t="inlineStr"/>
      <c r="F416" s="2" t="inlineStr"/>
      <c r="G416" s="2" t="inlineStr"/>
      <c r="H416" s="2" t="inlineStr"/>
      <c r="I416" s="2" t="inlineStr">
        <is>
          <t>Editable</t>
        </is>
      </c>
      <c r="J416" s="2" t="inlineStr"/>
      <c r="K416" s="2" t="inlineStr"/>
      <c r="L416" s="2" t="inlineStr"/>
      <c r="M416" s="2" t="inlineStr"/>
    </row>
    <row r="417">
      <c r="A417" s="2" t="inlineStr">
        <is>
          <t>Page13.CA52</t>
        </is>
      </c>
      <c r="B417" s="2" t="inlineStr">
        <is>
          <t>Page13</t>
        </is>
      </c>
      <c r="C417" s="2" t="inlineStr">
        <is>
          <t>numericEdit</t>
        </is>
      </c>
      <c r="D417" s="2" t="inlineStr"/>
      <c r="E417" s="2" t="inlineStr"/>
      <c r="F417" s="2" t="inlineStr"/>
      <c r="G417" s="2" t="inlineStr"/>
      <c r="H417" s="2" t="inlineStr"/>
      <c r="I417" s="2" t="inlineStr">
        <is>
          <t>Editable</t>
        </is>
      </c>
      <c r="J417" s="2" t="inlineStr"/>
      <c r="K417" s="2" t="inlineStr"/>
      <c r="L417" s="2" t="inlineStr"/>
      <c r="M417" s="2" t="inlineStr"/>
    </row>
    <row r="418">
      <c r="A418" s="2" t="inlineStr">
        <is>
          <t>Page13.CA62</t>
        </is>
      </c>
      <c r="B418" s="2" t="inlineStr">
        <is>
          <t>Page13</t>
        </is>
      </c>
      <c r="C418" s="2" t="inlineStr">
        <is>
          <t>numericEdit</t>
        </is>
      </c>
      <c r="D418" s="2" t="inlineStr"/>
      <c r="E418" s="2" t="inlineStr"/>
      <c r="F418" s="2" t="inlineStr"/>
      <c r="G418" s="2" t="inlineStr"/>
      <c r="H418" s="2" t="inlineStr"/>
      <c r="I418" s="2" t="inlineStr">
        <is>
          <t>Editable</t>
        </is>
      </c>
      <c r="J418" s="2" t="inlineStr"/>
      <c r="K418" s="2" t="inlineStr"/>
      <c r="L418" s="2" t="inlineStr"/>
      <c r="M418" s="2" t="inlineStr"/>
    </row>
    <row r="419">
      <c r="A419" s="2" t="inlineStr">
        <is>
          <t>Page13.CA72</t>
        </is>
      </c>
      <c r="B419" s="2" t="inlineStr">
        <is>
          <t>Page13</t>
        </is>
      </c>
      <c r="C419" s="2" t="inlineStr">
        <is>
          <t>numericEdit</t>
        </is>
      </c>
      <c r="D419" s="2" t="inlineStr"/>
      <c r="E419" s="2" t="inlineStr"/>
      <c r="F419" s="2" t="inlineStr"/>
      <c r="G419" s="2" t="inlineStr"/>
      <c r="H419" s="2" t="inlineStr"/>
      <c r="I419" s="2" t="inlineStr">
        <is>
          <t>Editable</t>
        </is>
      </c>
      <c r="J419" s="2" t="inlineStr"/>
      <c r="K419" s="2" t="inlineStr"/>
      <c r="L419" s="2" t="inlineStr"/>
      <c r="M419" s="2" t="inlineStr"/>
    </row>
    <row r="420">
      <c r="A420" s="2" t="inlineStr">
        <is>
          <t>Page13.CA82</t>
        </is>
      </c>
      <c r="B420" s="2" t="inlineStr">
        <is>
          <t>Page13</t>
        </is>
      </c>
      <c r="C420" s="2" t="inlineStr">
        <is>
          <t>numericEdit</t>
        </is>
      </c>
      <c r="D420" s="2" t="inlineStr"/>
      <c r="E420" s="2" t="inlineStr"/>
      <c r="F420" s="2" t="inlineStr"/>
      <c r="G420" s="2" t="inlineStr"/>
      <c r="H420" s="2" t="inlineStr"/>
      <c r="I420" s="2" t="inlineStr">
        <is>
          <t>Editable</t>
        </is>
      </c>
      <c r="J420" s="2" t="inlineStr"/>
      <c r="K420" s="2" t="inlineStr"/>
      <c r="L420" s="2" t="inlineStr"/>
      <c r="M420" s="2" t="inlineStr"/>
    </row>
    <row r="421">
      <c r="A421" s="2" t="inlineStr">
        <is>
          <t>Page13.CA92</t>
        </is>
      </c>
      <c r="B421" s="2" t="inlineStr">
        <is>
          <t>Page13</t>
        </is>
      </c>
      <c r="C421" s="2" t="inlineStr">
        <is>
          <t>numericEdit</t>
        </is>
      </c>
      <c r="D421" s="2" t="inlineStr"/>
      <c r="E421" s="2" t="inlineStr"/>
      <c r="F421" s="2" t="inlineStr"/>
      <c r="G421" s="2" t="inlineStr"/>
      <c r="H421" s="2" t="inlineStr"/>
      <c r="I421" s="2" t="inlineStr">
        <is>
          <t>Editable</t>
        </is>
      </c>
      <c r="J421" s="2" t="inlineStr"/>
      <c r="K421" s="2" t="inlineStr"/>
      <c r="L421" s="2" t="inlineStr"/>
      <c r="M421" s="2" t="inlineStr"/>
    </row>
    <row r="422">
      <c r="A422" s="2" t="inlineStr">
        <is>
          <t>Page13.CA102</t>
        </is>
      </c>
      <c r="B422" s="2" t="inlineStr">
        <is>
          <t>Page13</t>
        </is>
      </c>
      <c r="C422" s="2" t="inlineStr">
        <is>
          <t>numericEdit</t>
        </is>
      </c>
      <c r="D422" s="2" t="inlineStr"/>
      <c r="E422" s="2" t="inlineStr"/>
      <c r="F422" s="2" t="inlineStr"/>
      <c r="G422" s="2" t="inlineStr"/>
      <c r="H422" s="2" t="inlineStr"/>
      <c r="I422" s="2" t="inlineStr">
        <is>
          <t>Editable</t>
        </is>
      </c>
      <c r="J422" s="2" t="inlineStr"/>
      <c r="K422" s="2" t="inlineStr"/>
      <c r="L422" s="2" t="inlineStr"/>
      <c r="M422" s="2" t="inlineStr"/>
    </row>
    <row r="423">
      <c r="A423" s="2" t="inlineStr">
        <is>
          <t>Page13.CA112</t>
        </is>
      </c>
      <c r="B423" s="2" t="inlineStr">
        <is>
          <t>Page13</t>
        </is>
      </c>
      <c r="C423" s="2" t="inlineStr">
        <is>
          <t>numericEdit</t>
        </is>
      </c>
      <c r="D423" s="2" t="inlineStr"/>
      <c r="E423" s="2" t="inlineStr"/>
      <c r="F423" s="2" t="inlineStr"/>
      <c r="G423" s="2" t="inlineStr"/>
      <c r="H423" s="2" t="inlineStr"/>
      <c r="I423" s="2" t="inlineStr">
        <is>
          <t>Editable</t>
        </is>
      </c>
      <c r="J423" s="2" t="inlineStr"/>
      <c r="K423" s="2" t="inlineStr"/>
      <c r="L423" s="2" t="inlineStr"/>
      <c r="M423" s="2" t="inlineStr"/>
    </row>
    <row r="424">
      <c r="A424" s="2" t="inlineStr">
        <is>
          <t>Page13.CA122</t>
        </is>
      </c>
      <c r="B424" s="2" t="inlineStr">
        <is>
          <t>Page13</t>
        </is>
      </c>
      <c r="C424" s="2" t="inlineStr">
        <is>
          <t>numericEdit</t>
        </is>
      </c>
      <c r="D424" s="2" t="inlineStr"/>
      <c r="E424" s="2" t="inlineStr"/>
      <c r="F424" s="2" t="inlineStr"/>
      <c r="G424" s="2" t="inlineStr"/>
      <c r="H424" s="2" t="inlineStr"/>
      <c r="I424" s="2" t="inlineStr">
        <is>
          <t>Editable</t>
        </is>
      </c>
      <c r="J424" s="2" t="inlineStr"/>
      <c r="K424" s="2" t="inlineStr"/>
      <c r="L424" s="2" t="inlineStr"/>
      <c r="M424" s="2" t="inlineStr"/>
    </row>
    <row r="425">
      <c r="A425" s="2" t="inlineStr">
        <is>
          <t>Page13.CA132</t>
        </is>
      </c>
      <c r="B425" s="2" t="inlineStr">
        <is>
          <t>Page13</t>
        </is>
      </c>
      <c r="C425" s="2" t="inlineStr">
        <is>
          <t>numericEdit</t>
        </is>
      </c>
      <c r="D425" s="2" t="inlineStr"/>
      <c r="E425" s="2" t="inlineStr"/>
      <c r="F425" s="2" t="inlineStr"/>
      <c r="G425" s="2" t="inlineStr"/>
      <c r="H425" s="2" t="inlineStr"/>
      <c r="I425" s="2" t="inlineStr">
        <is>
          <t>Editable</t>
        </is>
      </c>
      <c r="J425" s="2" t="inlineStr"/>
      <c r="K425" s="2" t="inlineStr"/>
      <c r="L425" s="2" t="inlineStr"/>
      <c r="M425" s="2" t="inlineStr"/>
    </row>
    <row r="426">
      <c r="A426" s="2" t="inlineStr">
        <is>
          <t>Page13.CA17</t>
        </is>
      </c>
      <c r="B426" s="2" t="inlineStr">
        <is>
          <t>Page13</t>
        </is>
      </c>
      <c r="C426" s="2" t="inlineStr">
        <is>
          <t>numericEdit</t>
        </is>
      </c>
      <c r="D426" s="2" t="inlineStr"/>
      <c r="E426" s="2" t="inlineStr"/>
      <c r="F426" s="2" t="inlineStr"/>
      <c r="G426" s="2" t="inlineStr"/>
      <c r="H426" s="2" t="inlineStr"/>
      <c r="I426" s="2" t="inlineStr">
        <is>
          <t>Editable</t>
        </is>
      </c>
      <c r="J426" s="2" t="inlineStr"/>
      <c r="K426" s="2" t="inlineStr"/>
      <c r="L426" s="2" t="inlineStr"/>
      <c r="M426" s="2" t="inlineStr"/>
    </row>
    <row r="427">
      <c r="A427" s="2" t="inlineStr">
        <is>
          <t>Page13.CA27</t>
        </is>
      </c>
      <c r="B427" s="2" t="inlineStr">
        <is>
          <t>Page13</t>
        </is>
      </c>
      <c r="C427" s="2" t="inlineStr">
        <is>
          <t>numericEdit</t>
        </is>
      </c>
      <c r="D427" s="2" t="inlineStr"/>
      <c r="E427" s="2" t="inlineStr"/>
      <c r="F427" s="2" t="inlineStr"/>
      <c r="G427" s="2" t="inlineStr"/>
      <c r="H427" s="2" t="inlineStr"/>
      <c r="I427" s="2" t="inlineStr">
        <is>
          <t>Editable</t>
        </is>
      </c>
      <c r="J427" s="2" t="inlineStr"/>
      <c r="K427" s="2" t="inlineStr"/>
      <c r="L427" s="2" t="inlineStr"/>
      <c r="M427" s="2" t="inlineStr"/>
    </row>
    <row r="428">
      <c r="A428" s="2" t="inlineStr">
        <is>
          <t>Page13.CA37</t>
        </is>
      </c>
      <c r="B428" s="2" t="inlineStr">
        <is>
          <t>Page13</t>
        </is>
      </c>
      <c r="C428" s="2" t="inlineStr">
        <is>
          <t>numericEdit</t>
        </is>
      </c>
      <c r="D428" s="2" t="inlineStr"/>
      <c r="E428" s="2" t="inlineStr"/>
      <c r="F428" s="2" t="inlineStr"/>
      <c r="G428" s="2" t="inlineStr"/>
      <c r="H428" s="2" t="inlineStr"/>
      <c r="I428" s="2" t="inlineStr">
        <is>
          <t>Editable</t>
        </is>
      </c>
      <c r="J428" s="2" t="inlineStr"/>
      <c r="K428" s="2" t="inlineStr"/>
      <c r="L428" s="2" t="inlineStr"/>
      <c r="M428" s="2" t="inlineStr"/>
    </row>
    <row r="429">
      <c r="A429" s="2" t="inlineStr">
        <is>
          <t>Page13.CA47</t>
        </is>
      </c>
      <c r="B429" s="2" t="inlineStr">
        <is>
          <t>Page13</t>
        </is>
      </c>
      <c r="C429" s="2" t="inlineStr">
        <is>
          <t>numericEdit</t>
        </is>
      </c>
      <c r="D429" s="2" t="inlineStr"/>
      <c r="E429" s="2" t="inlineStr"/>
      <c r="F429" s="2" t="inlineStr"/>
      <c r="G429" s="2" t="inlineStr"/>
      <c r="H429" s="2" t="inlineStr"/>
      <c r="I429" s="2" t="inlineStr">
        <is>
          <t>Editable</t>
        </is>
      </c>
      <c r="J429" s="2" t="inlineStr"/>
      <c r="K429" s="2" t="inlineStr"/>
      <c r="L429" s="2" t="inlineStr"/>
      <c r="M429" s="2" t="inlineStr"/>
    </row>
    <row r="430">
      <c r="A430" s="2" t="inlineStr">
        <is>
          <t>Page13.CA57</t>
        </is>
      </c>
      <c r="B430" s="2" t="inlineStr">
        <is>
          <t>Page13</t>
        </is>
      </c>
      <c r="C430" s="2" t="inlineStr">
        <is>
          <t>numericEdit</t>
        </is>
      </c>
      <c r="D430" s="2" t="inlineStr"/>
      <c r="E430" s="2" t="inlineStr"/>
      <c r="F430" s="2" t="inlineStr"/>
      <c r="G430" s="2" t="inlineStr"/>
      <c r="H430" s="2" t="inlineStr"/>
      <c r="I430" s="2" t="inlineStr">
        <is>
          <t>Editable</t>
        </is>
      </c>
      <c r="J430" s="2" t="inlineStr"/>
      <c r="K430" s="2" t="inlineStr"/>
      <c r="L430" s="2" t="inlineStr"/>
      <c r="M430" s="2" t="inlineStr"/>
    </row>
    <row r="431">
      <c r="A431" s="2" t="inlineStr">
        <is>
          <t>Page13.CA67</t>
        </is>
      </c>
      <c r="B431" s="2" t="inlineStr">
        <is>
          <t>Page13</t>
        </is>
      </c>
      <c r="C431" s="2" t="inlineStr">
        <is>
          <t>numericEdit</t>
        </is>
      </c>
      <c r="D431" s="2" t="inlineStr"/>
      <c r="E431" s="2" t="inlineStr"/>
      <c r="F431" s="2" t="inlineStr"/>
      <c r="G431" s="2" t="inlineStr"/>
      <c r="H431" s="2" t="inlineStr"/>
      <c r="I431" s="2" t="inlineStr">
        <is>
          <t>Editable</t>
        </is>
      </c>
      <c r="J431" s="2" t="inlineStr"/>
      <c r="K431" s="2" t="inlineStr"/>
      <c r="L431" s="2" t="inlineStr"/>
      <c r="M431" s="2" t="inlineStr"/>
    </row>
    <row r="432">
      <c r="A432" s="2" t="inlineStr">
        <is>
          <t>Page13.CA77</t>
        </is>
      </c>
      <c r="B432" s="2" t="inlineStr">
        <is>
          <t>Page13</t>
        </is>
      </c>
      <c r="C432" s="2" t="inlineStr">
        <is>
          <t>numericEdit</t>
        </is>
      </c>
      <c r="D432" s="2" t="inlineStr"/>
      <c r="E432" s="2" t="inlineStr"/>
      <c r="F432" s="2" t="inlineStr"/>
      <c r="G432" s="2" t="inlineStr"/>
      <c r="H432" s="2" t="inlineStr"/>
      <c r="I432" s="2" t="inlineStr">
        <is>
          <t>Editable</t>
        </is>
      </c>
      <c r="J432" s="2" t="inlineStr"/>
      <c r="K432" s="2" t="inlineStr"/>
      <c r="L432" s="2" t="inlineStr"/>
      <c r="M432" s="2" t="inlineStr"/>
    </row>
    <row r="433">
      <c r="A433" s="2" t="inlineStr">
        <is>
          <t>Page13.CA87</t>
        </is>
      </c>
      <c r="B433" s="2" t="inlineStr">
        <is>
          <t>Page13</t>
        </is>
      </c>
      <c r="C433" s="2" t="inlineStr">
        <is>
          <t>numericEdit</t>
        </is>
      </c>
      <c r="D433" s="2" t="inlineStr"/>
      <c r="E433" s="2" t="inlineStr"/>
      <c r="F433" s="2" t="inlineStr"/>
      <c r="G433" s="2" t="inlineStr"/>
      <c r="H433" s="2" t="inlineStr"/>
      <c r="I433" s="2" t="inlineStr">
        <is>
          <t>Editable</t>
        </is>
      </c>
      <c r="J433" s="2" t="inlineStr"/>
      <c r="K433" s="2" t="inlineStr"/>
      <c r="L433" s="2" t="inlineStr"/>
      <c r="M433" s="2" t="inlineStr"/>
    </row>
    <row r="434">
      <c r="A434" s="2" t="inlineStr">
        <is>
          <t>Page13.CA97</t>
        </is>
      </c>
      <c r="B434" s="2" t="inlineStr">
        <is>
          <t>Page13</t>
        </is>
      </c>
      <c r="C434" s="2" t="inlineStr">
        <is>
          <t>numericEdit</t>
        </is>
      </c>
      <c r="D434" s="2" t="inlineStr"/>
      <c r="E434" s="2" t="inlineStr"/>
      <c r="F434" s="2" t="inlineStr"/>
      <c r="G434" s="2" t="inlineStr"/>
      <c r="H434" s="2" t="inlineStr"/>
      <c r="I434" s="2" t="inlineStr">
        <is>
          <t>Editable</t>
        </is>
      </c>
      <c r="J434" s="2" t="inlineStr"/>
      <c r="K434" s="2" t="inlineStr"/>
      <c r="L434" s="2" t="inlineStr"/>
      <c r="M434" s="2" t="inlineStr"/>
    </row>
    <row r="435">
      <c r="A435" s="2" t="inlineStr">
        <is>
          <t>Page13.CA107</t>
        </is>
      </c>
      <c r="B435" s="2" t="inlineStr">
        <is>
          <t>Page13</t>
        </is>
      </c>
      <c r="C435" s="2" t="inlineStr">
        <is>
          <t>numericEdit</t>
        </is>
      </c>
      <c r="D435" s="2" t="inlineStr"/>
      <c r="E435" s="2" t="inlineStr"/>
      <c r="F435" s="2" t="inlineStr"/>
      <c r="G435" s="2" t="inlineStr"/>
      <c r="H435" s="2" t="inlineStr"/>
      <c r="I435" s="2" t="inlineStr">
        <is>
          <t>Editable</t>
        </is>
      </c>
      <c r="J435" s="2" t="inlineStr"/>
      <c r="K435" s="2" t="inlineStr"/>
      <c r="L435" s="2" t="inlineStr"/>
      <c r="M435" s="2" t="inlineStr"/>
    </row>
    <row r="436">
      <c r="A436" s="2" t="inlineStr">
        <is>
          <t>Page13.CA117</t>
        </is>
      </c>
      <c r="B436" s="2" t="inlineStr">
        <is>
          <t>Page13</t>
        </is>
      </c>
      <c r="C436" s="2" t="inlineStr">
        <is>
          <t>numericEdit</t>
        </is>
      </c>
      <c r="D436" s="2" t="inlineStr"/>
      <c r="E436" s="2" t="inlineStr"/>
      <c r="F436" s="2" t="inlineStr"/>
      <c r="G436" s="2" t="inlineStr"/>
      <c r="H436" s="2" t="inlineStr"/>
      <c r="I436" s="2" t="inlineStr">
        <is>
          <t>Editable</t>
        </is>
      </c>
      <c r="J436" s="2" t="inlineStr"/>
      <c r="K436" s="2" t="inlineStr"/>
      <c r="L436" s="2" t="inlineStr"/>
      <c r="M436" s="2" t="inlineStr"/>
    </row>
    <row r="437">
      <c r="A437" s="2" t="inlineStr">
        <is>
          <t>Page13.CA127</t>
        </is>
      </c>
      <c r="B437" s="2" t="inlineStr">
        <is>
          <t>Page13</t>
        </is>
      </c>
      <c r="C437" s="2" t="inlineStr">
        <is>
          <t>numericEdit</t>
        </is>
      </c>
      <c r="D437" s="2" t="inlineStr"/>
      <c r="E437" s="2" t="inlineStr"/>
      <c r="F437" s="2" t="inlineStr"/>
      <c r="G437" s="2" t="inlineStr"/>
      <c r="H437" s="2" t="inlineStr"/>
      <c r="I437" s="2" t="inlineStr">
        <is>
          <t>Editable</t>
        </is>
      </c>
      <c r="J437" s="2" t="inlineStr"/>
      <c r="K437" s="2" t="inlineStr"/>
      <c r="L437" s="2" t="inlineStr"/>
      <c r="M437" s="2" t="inlineStr"/>
    </row>
    <row r="438">
      <c r="A438" s="2" t="inlineStr">
        <is>
          <t>Page13.CA137</t>
        </is>
      </c>
      <c r="B438" s="2" t="inlineStr">
        <is>
          <t>Page13</t>
        </is>
      </c>
      <c r="C438" s="2" t="inlineStr">
        <is>
          <t>numericEdit</t>
        </is>
      </c>
      <c r="D438" s="2" t="inlineStr"/>
      <c r="E438" s="2" t="inlineStr"/>
      <c r="F438" s="2" t="inlineStr"/>
      <c r="G438" s="2" t="inlineStr"/>
      <c r="H438" s="2" t="inlineStr"/>
      <c r="I438" s="2" t="inlineStr">
        <is>
          <t>Editable</t>
        </is>
      </c>
      <c r="J438" s="2" t="inlineStr"/>
      <c r="K438" s="2" t="inlineStr"/>
      <c r="L438" s="2" t="inlineStr"/>
      <c r="M438" s="2" t="inlineStr"/>
    </row>
    <row r="439">
      <c r="A439" s="2" t="inlineStr">
        <is>
          <t>Page13.CA143</t>
        </is>
      </c>
      <c r="B439" s="2" t="inlineStr">
        <is>
          <t>Page13</t>
        </is>
      </c>
      <c r="C439" s="2" t="inlineStr">
        <is>
          <t>numericEdit</t>
        </is>
      </c>
      <c r="D439" s="2" t="inlineStr"/>
      <c r="E439" s="2" t="inlineStr"/>
      <c r="F439" s="2" t="inlineStr"/>
      <c r="G439" s="2" t="inlineStr"/>
      <c r="H439" s="2" t="inlineStr"/>
      <c r="I439" s="2" t="inlineStr">
        <is>
          <t>Editable</t>
        </is>
      </c>
      <c r="J439" s="2" t="inlineStr"/>
      <c r="K439" s="2" t="inlineStr"/>
      <c r="L439" s="2" t="inlineStr"/>
      <c r="M439" s="2" t="inlineStr"/>
    </row>
    <row r="440">
      <c r="A440" s="2" t="inlineStr">
        <is>
          <t>Page13.CA144</t>
        </is>
      </c>
      <c r="B440" s="2" t="inlineStr">
        <is>
          <t>Page13</t>
        </is>
      </c>
      <c r="C440" s="2" t="inlineStr">
        <is>
          <t>numericEdit</t>
        </is>
      </c>
      <c r="D440" s="2" t="inlineStr"/>
      <c r="E440" s="2" t="inlineStr"/>
      <c r="F440" s="2" t="inlineStr"/>
      <c r="G440" s="2" t="inlineStr"/>
      <c r="H440" s="2" t="inlineStr"/>
      <c r="I440" s="2" t="inlineStr">
        <is>
          <t>Editable</t>
        </is>
      </c>
      <c r="J440" s="2" t="inlineStr"/>
      <c r="K440" s="2" t="inlineStr"/>
      <c r="L440" s="2" t="inlineStr"/>
      <c r="M440" s="2" t="inlineStr"/>
    </row>
    <row r="441">
      <c r="A441" s="2" t="inlineStr">
        <is>
          <t>Page13.CA146</t>
        </is>
      </c>
      <c r="B441" s="2" t="inlineStr">
        <is>
          <t>Page13</t>
        </is>
      </c>
      <c r="C441" s="2" t="inlineStr">
        <is>
          <t>numericEdit</t>
        </is>
      </c>
      <c r="D441" s="2" t="inlineStr"/>
      <c r="E441" s="2" t="inlineStr"/>
      <c r="F441" s="2" t="inlineStr"/>
      <c r="G441" s="2" t="inlineStr"/>
      <c r="H441" s="2" t="inlineStr"/>
      <c r="I441" s="2" t="inlineStr">
        <is>
          <t>Editable</t>
        </is>
      </c>
      <c r="J441" s="2" t="inlineStr"/>
      <c r="K441" s="2" t="inlineStr"/>
      <c r="L441" s="2" t="inlineStr"/>
      <c r="M441" s="2" t="inlineStr"/>
    </row>
    <row r="442">
      <c r="A442" s="2" t="inlineStr">
        <is>
          <t>Page13.CA142</t>
        </is>
      </c>
      <c r="B442" s="2" t="inlineStr">
        <is>
          <t>Page13</t>
        </is>
      </c>
      <c r="C442" s="2" t="inlineStr">
        <is>
          <t>numericEdit</t>
        </is>
      </c>
      <c r="D442" s="2" t="inlineStr"/>
      <c r="E442" s="2" t="inlineStr"/>
      <c r="F442" s="2" t="inlineStr"/>
      <c r="G442" s="2" t="inlineStr"/>
      <c r="H442" s="2" t="inlineStr"/>
      <c r="I442" s="2" t="inlineStr">
        <is>
          <t>Editable</t>
        </is>
      </c>
      <c r="J442" s="2" t="inlineStr"/>
      <c r="K442" s="2" t="inlineStr"/>
      <c r="L442" s="2" t="inlineStr"/>
      <c r="M442" s="2" t="inlineStr"/>
    </row>
    <row r="443">
      <c r="A443" s="2" t="inlineStr">
        <is>
          <t>Page13.CA147</t>
        </is>
      </c>
      <c r="B443" s="2" t="inlineStr">
        <is>
          <t>Page13</t>
        </is>
      </c>
      <c r="C443" s="2" t="inlineStr">
        <is>
          <t>numericEdit</t>
        </is>
      </c>
      <c r="D443" s="2" t="inlineStr"/>
      <c r="E443" s="2" t="inlineStr"/>
      <c r="F443" s="2" t="inlineStr"/>
      <c r="G443" s="2" t="inlineStr"/>
      <c r="H443" s="2" t="inlineStr"/>
      <c r="I443" s="2" t="inlineStr">
        <is>
          <t>Editable</t>
        </is>
      </c>
      <c r="J443" s="2" t="inlineStr"/>
      <c r="K443" s="2" t="inlineStr"/>
      <c r="L443" s="2" t="inlineStr"/>
      <c r="M443" s="2" t="inlineStr"/>
    </row>
    <row r="444">
      <c r="A444" s="2" t="inlineStr">
        <is>
          <t>Page13.CA145</t>
        </is>
      </c>
      <c r="B444" s="2" t="inlineStr">
        <is>
          <t>Page13</t>
        </is>
      </c>
      <c r="C444" s="2" t="inlineStr">
        <is>
          <t>numericEdit</t>
        </is>
      </c>
      <c r="D444" s="2" t="inlineStr"/>
      <c r="E444" s="2" t="inlineStr"/>
      <c r="F444" s="2" t="inlineStr"/>
      <c r="G444" s="2" t="inlineStr"/>
      <c r="H444" s="2" t="inlineStr"/>
      <c r="I444" s="2" t="inlineStr">
        <is>
          <t>Editable</t>
        </is>
      </c>
      <c r="J444" s="2" t="inlineStr"/>
      <c r="K444" s="2" t="inlineStr"/>
      <c r="L444" s="2" t="inlineStr"/>
      <c r="M444" s="2" t="inlineStr"/>
    </row>
    <row r="445">
      <c r="A445" s="2" t="inlineStr">
        <is>
          <t>Page14.C1142</t>
        </is>
      </c>
      <c r="B445" s="2" t="inlineStr">
        <is>
          <t>Page14</t>
        </is>
      </c>
      <c r="C445" s="2" t="inlineStr">
        <is>
          <t>numericEdit</t>
        </is>
      </c>
      <c r="D445" s="2" t="inlineStr"/>
      <c r="E445" s="2" t="inlineStr"/>
      <c r="F445" s="2" t="inlineStr"/>
      <c r="G445" s="2" t="inlineStr"/>
      <c r="H445" s="2" t="inlineStr"/>
      <c r="I445" s="2" t="inlineStr">
        <is>
          <t>Editable</t>
        </is>
      </c>
      <c r="J445" s="2" t="inlineStr"/>
      <c r="K445" s="2" t="inlineStr"/>
      <c r="L445" s="2" t="inlineStr"/>
      <c r="M445" s="2" t="inlineStr"/>
    </row>
    <row r="446">
      <c r="A446" s="2" t="inlineStr">
        <is>
          <t>Page14.CB18</t>
        </is>
      </c>
      <c r="B446" s="2" t="inlineStr">
        <is>
          <t>Page14</t>
        </is>
      </c>
      <c r="C446" s="2" t="inlineStr">
        <is>
          <t>numericEdit</t>
        </is>
      </c>
      <c r="D446" s="2" t="inlineStr"/>
      <c r="E446" s="2" t="inlineStr"/>
      <c r="F446" s="2" t="inlineStr"/>
      <c r="G446" s="2" t="inlineStr"/>
      <c r="H446" s="2" t="inlineStr"/>
      <c r="I446" s="2" t="inlineStr">
        <is>
          <t>Editable</t>
        </is>
      </c>
      <c r="J446" s="2" t="inlineStr"/>
      <c r="K446" s="2" t="inlineStr"/>
      <c r="L446" s="2" t="inlineStr"/>
      <c r="M446" s="2" t="inlineStr"/>
    </row>
    <row r="447">
      <c r="A447" s="2" t="inlineStr">
        <is>
          <t>Page14.CB19</t>
        </is>
      </c>
      <c r="B447" s="2" t="inlineStr">
        <is>
          <t>Page14</t>
        </is>
      </c>
      <c r="C447" s="2" t="inlineStr">
        <is>
          <t>numericEdit</t>
        </is>
      </c>
      <c r="D447" s="2" t="inlineStr"/>
      <c r="E447" s="2" t="inlineStr"/>
      <c r="F447" s="2" t="inlineStr"/>
      <c r="G447" s="2" t="inlineStr"/>
      <c r="H447" s="2" t="inlineStr"/>
      <c r="I447" s="2" t="inlineStr">
        <is>
          <t>Editable</t>
        </is>
      </c>
      <c r="J447" s="2" t="inlineStr"/>
      <c r="K447" s="2" t="inlineStr"/>
      <c r="L447" s="2" t="inlineStr"/>
      <c r="M447" s="2" t="inlineStr"/>
    </row>
    <row r="448">
      <c r="A448" s="2" t="inlineStr">
        <is>
          <t>Page14.CB110</t>
        </is>
      </c>
      <c r="B448" s="2" t="inlineStr">
        <is>
          <t>Page14</t>
        </is>
      </c>
      <c r="C448" s="2" t="inlineStr">
        <is>
          <t>numericEdit</t>
        </is>
      </c>
      <c r="D448" s="2" t="inlineStr"/>
      <c r="E448" s="2" t="inlineStr"/>
      <c r="F448" s="2" t="inlineStr"/>
      <c r="G448" s="2" t="inlineStr"/>
      <c r="H448" s="2" t="inlineStr"/>
      <c r="I448" s="2" t="inlineStr">
        <is>
          <t>Editable</t>
        </is>
      </c>
      <c r="J448" s="2" t="inlineStr"/>
      <c r="K448" s="2" t="inlineStr"/>
      <c r="L448" s="2" t="inlineStr"/>
      <c r="M448" s="2" t="inlineStr"/>
    </row>
    <row r="449">
      <c r="A449" s="2" t="inlineStr">
        <is>
          <t>Page14.CB111</t>
        </is>
      </c>
      <c r="B449" s="2" t="inlineStr">
        <is>
          <t>Page14</t>
        </is>
      </c>
      <c r="C449" s="2" t="inlineStr">
        <is>
          <t>numericEdit</t>
        </is>
      </c>
      <c r="D449" s="2" t="inlineStr"/>
      <c r="E449" s="2" t="inlineStr"/>
      <c r="F449" s="2" t="inlineStr"/>
      <c r="G449" s="2" t="inlineStr"/>
      <c r="H449" s="2" t="inlineStr"/>
      <c r="I449" s="2" t="inlineStr">
        <is>
          <t>Editable</t>
        </is>
      </c>
      <c r="J449" s="2" t="inlineStr"/>
      <c r="K449" s="2" t="inlineStr"/>
      <c r="L449" s="2" t="inlineStr"/>
      <c r="M449" s="2" t="inlineStr"/>
    </row>
    <row r="450">
      <c r="A450" s="2" t="inlineStr">
        <is>
          <t>Page14.CB112</t>
        </is>
      </c>
      <c r="B450" s="2" t="inlineStr">
        <is>
          <t>Page14</t>
        </is>
      </c>
      <c r="C450" s="2" t="inlineStr">
        <is>
          <t>numericEdit</t>
        </is>
      </c>
      <c r="D450" s="2" t="inlineStr"/>
      <c r="E450" s="2" t="inlineStr"/>
      <c r="F450" s="2" t="inlineStr"/>
      <c r="G450" s="2" t="inlineStr"/>
      <c r="H450" s="2" t="inlineStr"/>
      <c r="I450" s="2" t="inlineStr">
        <is>
          <t>Editable</t>
        </is>
      </c>
      <c r="J450" s="2" t="inlineStr"/>
      <c r="K450" s="2" t="inlineStr"/>
      <c r="L450" s="2" t="inlineStr"/>
      <c r="M450" s="2" t="inlineStr"/>
    </row>
    <row r="451">
      <c r="A451" s="2" t="inlineStr">
        <is>
          <t>Page14.CB113</t>
        </is>
      </c>
      <c r="B451" s="2" t="inlineStr">
        <is>
          <t>Page14</t>
        </is>
      </c>
      <c r="C451" s="2" t="inlineStr">
        <is>
          <t>numericEdit</t>
        </is>
      </c>
      <c r="D451" s="2" t="inlineStr"/>
      <c r="E451" s="2" t="inlineStr"/>
      <c r="F451" s="2" t="inlineStr"/>
      <c r="G451" s="2" t="inlineStr"/>
      <c r="H451" s="2" t="inlineStr"/>
      <c r="I451" s="2" t="inlineStr">
        <is>
          <t>Editable</t>
        </is>
      </c>
      <c r="J451" s="2" t="inlineStr"/>
      <c r="K451" s="2" t="inlineStr"/>
      <c r="L451" s="2" t="inlineStr"/>
      <c r="M451" s="2" t="inlineStr"/>
    </row>
    <row r="452">
      <c r="A452" s="2" t="inlineStr">
        <is>
          <t>Page14.C1141</t>
        </is>
      </c>
      <c r="B452" s="2" t="inlineStr">
        <is>
          <t>Page14</t>
        </is>
      </c>
      <c r="C452" s="2" t="inlineStr">
        <is>
          <t>numericEdit</t>
        </is>
      </c>
      <c r="D452" s="2" t="inlineStr"/>
      <c r="E452" s="2" t="inlineStr"/>
      <c r="F452" s="2" t="inlineStr"/>
      <c r="G452" s="2" t="inlineStr"/>
      <c r="H452" s="2" t="inlineStr"/>
      <c r="I452" s="2" t="inlineStr">
        <is>
          <t>Editable</t>
        </is>
      </c>
      <c r="J452" s="2" t="inlineStr"/>
      <c r="K452" s="2" t="inlineStr"/>
      <c r="L452" s="2" t="inlineStr"/>
      <c r="M452" s="2" t="inlineStr"/>
    </row>
    <row r="453">
      <c r="A453" s="2" t="inlineStr">
        <is>
          <t>Page14.C2142</t>
        </is>
      </c>
      <c r="B453" s="2" t="inlineStr">
        <is>
          <t>Page14</t>
        </is>
      </c>
      <c r="C453" s="2" t="inlineStr">
        <is>
          <t>numericEdit</t>
        </is>
      </c>
      <c r="D453" s="2" t="inlineStr"/>
      <c r="E453" s="2" t="inlineStr"/>
      <c r="F453" s="2" t="inlineStr"/>
      <c r="G453" s="2" t="inlineStr"/>
      <c r="H453" s="2" t="inlineStr"/>
      <c r="I453" s="2" t="inlineStr">
        <is>
          <t>Editable</t>
        </is>
      </c>
      <c r="J453" s="2" t="inlineStr"/>
      <c r="K453" s="2" t="inlineStr"/>
      <c r="L453" s="2" t="inlineStr"/>
      <c r="M453" s="2" t="inlineStr"/>
    </row>
    <row r="454">
      <c r="A454" s="2" t="inlineStr">
        <is>
          <t>Page14.CB28</t>
        </is>
      </c>
      <c r="B454" s="2" t="inlineStr">
        <is>
          <t>Page14</t>
        </is>
      </c>
      <c r="C454" s="2" t="inlineStr">
        <is>
          <t>numericEdit</t>
        </is>
      </c>
      <c r="D454" s="2" t="inlineStr"/>
      <c r="E454" s="2" t="inlineStr"/>
      <c r="F454" s="2" t="inlineStr"/>
      <c r="G454" s="2" t="inlineStr"/>
      <c r="H454" s="2" t="inlineStr"/>
      <c r="I454" s="2" t="inlineStr">
        <is>
          <t>Editable</t>
        </is>
      </c>
      <c r="J454" s="2" t="inlineStr"/>
      <c r="K454" s="2" t="inlineStr"/>
      <c r="L454" s="2" t="inlineStr"/>
      <c r="M454" s="2" t="inlineStr"/>
    </row>
    <row r="455">
      <c r="A455" s="2" t="inlineStr">
        <is>
          <t>Page14.CB29</t>
        </is>
      </c>
      <c r="B455" s="2" t="inlineStr">
        <is>
          <t>Page14</t>
        </is>
      </c>
      <c r="C455" s="2" t="inlineStr">
        <is>
          <t>numericEdit</t>
        </is>
      </c>
      <c r="D455" s="2" t="inlineStr"/>
      <c r="E455" s="2" t="inlineStr"/>
      <c r="F455" s="2" t="inlineStr"/>
      <c r="G455" s="2" t="inlineStr"/>
      <c r="H455" s="2" t="inlineStr"/>
      <c r="I455" s="2" t="inlineStr">
        <is>
          <t>Editable</t>
        </is>
      </c>
      <c r="J455" s="2" t="inlineStr"/>
      <c r="K455" s="2" t="inlineStr"/>
      <c r="L455" s="2" t="inlineStr"/>
      <c r="M455" s="2" t="inlineStr"/>
    </row>
    <row r="456">
      <c r="A456" s="2" t="inlineStr">
        <is>
          <t>Page14.CB210</t>
        </is>
      </c>
      <c r="B456" s="2" t="inlineStr">
        <is>
          <t>Page14</t>
        </is>
      </c>
      <c r="C456" s="2" t="inlineStr">
        <is>
          <t>numericEdit</t>
        </is>
      </c>
      <c r="D456" s="2" t="inlineStr"/>
      <c r="E456" s="2" t="inlineStr"/>
      <c r="F456" s="2" t="inlineStr"/>
      <c r="G456" s="2" t="inlineStr"/>
      <c r="H456" s="2" t="inlineStr"/>
      <c r="I456" s="2" t="inlineStr">
        <is>
          <t>Editable</t>
        </is>
      </c>
      <c r="J456" s="2" t="inlineStr"/>
      <c r="K456" s="2" t="inlineStr"/>
      <c r="L456" s="2" t="inlineStr"/>
      <c r="M456" s="2" t="inlineStr"/>
    </row>
    <row r="457">
      <c r="A457" s="2" t="inlineStr">
        <is>
          <t>Page14.CB211</t>
        </is>
      </c>
      <c r="B457" s="2" t="inlineStr">
        <is>
          <t>Page14</t>
        </is>
      </c>
      <c r="C457" s="2" t="inlineStr">
        <is>
          <t>numericEdit</t>
        </is>
      </c>
      <c r="D457" s="2" t="inlineStr"/>
      <c r="E457" s="2" t="inlineStr"/>
      <c r="F457" s="2" t="inlineStr"/>
      <c r="G457" s="2" t="inlineStr"/>
      <c r="H457" s="2" t="inlineStr"/>
      <c r="I457" s="2" t="inlineStr">
        <is>
          <t>Editable</t>
        </is>
      </c>
      <c r="J457" s="2" t="inlineStr"/>
      <c r="K457" s="2" t="inlineStr"/>
      <c r="L457" s="2" t="inlineStr"/>
      <c r="M457" s="2" t="inlineStr"/>
    </row>
    <row r="458">
      <c r="A458" s="2" t="inlineStr">
        <is>
          <t>Page14.CB212</t>
        </is>
      </c>
      <c r="B458" s="2" t="inlineStr">
        <is>
          <t>Page14</t>
        </is>
      </c>
      <c r="C458" s="2" t="inlineStr">
        <is>
          <t>numericEdit</t>
        </is>
      </c>
      <c r="D458" s="2" t="inlineStr"/>
      <c r="E458" s="2" t="inlineStr"/>
      <c r="F458" s="2" t="inlineStr"/>
      <c r="G458" s="2" t="inlineStr"/>
      <c r="H458" s="2" t="inlineStr"/>
      <c r="I458" s="2" t="inlineStr">
        <is>
          <t>Editable</t>
        </is>
      </c>
      <c r="J458" s="2" t="inlineStr"/>
      <c r="K458" s="2" t="inlineStr"/>
      <c r="L458" s="2" t="inlineStr"/>
      <c r="M458" s="2" t="inlineStr"/>
    </row>
    <row r="459">
      <c r="A459" s="2" t="inlineStr">
        <is>
          <t>Page14.CB213</t>
        </is>
      </c>
      <c r="B459" s="2" t="inlineStr">
        <is>
          <t>Page14</t>
        </is>
      </c>
      <c r="C459" s="2" t="inlineStr">
        <is>
          <t>numericEdit</t>
        </is>
      </c>
      <c r="D459" s="2" t="inlineStr"/>
      <c r="E459" s="2" t="inlineStr"/>
      <c r="F459" s="2" t="inlineStr"/>
      <c r="G459" s="2" t="inlineStr"/>
      <c r="H459" s="2" t="inlineStr"/>
      <c r="I459" s="2" t="inlineStr">
        <is>
          <t>Editable</t>
        </is>
      </c>
      <c r="J459" s="2" t="inlineStr"/>
      <c r="K459" s="2" t="inlineStr"/>
      <c r="L459" s="2" t="inlineStr"/>
      <c r="M459" s="2" t="inlineStr"/>
    </row>
    <row r="460">
      <c r="A460" s="2" t="inlineStr">
        <is>
          <t>Page14.C2141</t>
        </is>
      </c>
      <c r="B460" s="2" t="inlineStr">
        <is>
          <t>Page14</t>
        </is>
      </c>
      <c r="C460" s="2" t="inlineStr">
        <is>
          <t>numericEdit</t>
        </is>
      </c>
      <c r="D460" s="2" t="inlineStr"/>
      <c r="E460" s="2" t="inlineStr"/>
      <c r="F460" s="2" t="inlineStr"/>
      <c r="G460" s="2" t="inlineStr"/>
      <c r="H460" s="2" t="inlineStr"/>
      <c r="I460" s="2" t="inlineStr">
        <is>
          <t>Editable</t>
        </is>
      </c>
      <c r="J460" s="2" t="inlineStr"/>
      <c r="K460" s="2" t="inlineStr"/>
      <c r="L460" s="2" t="inlineStr"/>
      <c r="M460" s="2" t="inlineStr"/>
    </row>
    <row r="461">
      <c r="A461" s="2" t="inlineStr">
        <is>
          <t>Page14.C3142</t>
        </is>
      </c>
      <c r="B461" s="2" t="inlineStr">
        <is>
          <t>Page14</t>
        </is>
      </c>
      <c r="C461" s="2" t="inlineStr">
        <is>
          <t>numericEdit</t>
        </is>
      </c>
      <c r="D461" s="2" t="inlineStr"/>
      <c r="E461" s="2" t="inlineStr"/>
      <c r="F461" s="2" t="inlineStr"/>
      <c r="G461" s="2" t="inlineStr"/>
      <c r="H461" s="2" t="inlineStr"/>
      <c r="I461" s="2" t="inlineStr">
        <is>
          <t>Editable</t>
        </is>
      </c>
      <c r="J461" s="2" t="inlineStr"/>
      <c r="K461" s="2" t="inlineStr"/>
      <c r="L461" s="2" t="inlineStr"/>
      <c r="M461" s="2" t="inlineStr"/>
    </row>
    <row r="462">
      <c r="A462" s="2" t="inlineStr">
        <is>
          <t>Page14.CB38</t>
        </is>
      </c>
      <c r="B462" s="2" t="inlineStr">
        <is>
          <t>Page14</t>
        </is>
      </c>
      <c r="C462" s="2" t="inlineStr">
        <is>
          <t>numericEdit</t>
        </is>
      </c>
      <c r="D462" s="2" t="inlineStr"/>
      <c r="E462" s="2" t="inlineStr"/>
      <c r="F462" s="2" t="inlineStr"/>
      <c r="G462" s="2" t="inlineStr"/>
      <c r="H462" s="2" t="inlineStr"/>
      <c r="I462" s="2" t="inlineStr">
        <is>
          <t>Editable</t>
        </is>
      </c>
      <c r="J462" s="2" t="inlineStr"/>
      <c r="K462" s="2" t="inlineStr"/>
      <c r="L462" s="2" t="inlineStr"/>
      <c r="M462" s="2" t="inlineStr"/>
    </row>
    <row r="463">
      <c r="A463" s="2" t="inlineStr">
        <is>
          <t>Page14.CB39</t>
        </is>
      </c>
      <c r="B463" s="2" t="inlineStr">
        <is>
          <t>Page14</t>
        </is>
      </c>
      <c r="C463" s="2" t="inlineStr">
        <is>
          <t>numericEdit</t>
        </is>
      </c>
      <c r="D463" s="2" t="inlineStr"/>
      <c r="E463" s="2" t="inlineStr"/>
      <c r="F463" s="2" t="inlineStr"/>
      <c r="G463" s="2" t="inlineStr"/>
      <c r="H463" s="2" t="inlineStr"/>
      <c r="I463" s="2" t="inlineStr">
        <is>
          <t>Editable</t>
        </is>
      </c>
      <c r="J463" s="2" t="inlineStr"/>
      <c r="K463" s="2" t="inlineStr"/>
      <c r="L463" s="2" t="inlineStr"/>
      <c r="M463" s="2" t="inlineStr"/>
    </row>
    <row r="464">
      <c r="A464" s="2" t="inlineStr">
        <is>
          <t>Page14.CB310</t>
        </is>
      </c>
      <c r="B464" s="2" t="inlineStr">
        <is>
          <t>Page14</t>
        </is>
      </c>
      <c r="C464" s="2" t="inlineStr">
        <is>
          <t>numericEdit</t>
        </is>
      </c>
      <c r="D464" s="2" t="inlineStr"/>
      <c r="E464" s="2" t="inlineStr"/>
      <c r="F464" s="2" t="inlineStr"/>
      <c r="G464" s="2" t="inlineStr"/>
      <c r="H464" s="2" t="inlineStr"/>
      <c r="I464" s="2" t="inlineStr">
        <is>
          <t>Editable</t>
        </is>
      </c>
      <c r="J464" s="2" t="inlineStr"/>
      <c r="K464" s="2" t="inlineStr"/>
      <c r="L464" s="2" t="inlineStr"/>
      <c r="M464" s="2" t="inlineStr"/>
    </row>
    <row r="465">
      <c r="A465" s="2" t="inlineStr">
        <is>
          <t>Page14.CB311</t>
        </is>
      </c>
      <c r="B465" s="2" t="inlineStr">
        <is>
          <t>Page14</t>
        </is>
      </c>
      <c r="C465" s="2" t="inlineStr">
        <is>
          <t>numericEdit</t>
        </is>
      </c>
      <c r="D465" s="2" t="inlineStr"/>
      <c r="E465" s="2" t="inlineStr"/>
      <c r="F465" s="2" t="inlineStr"/>
      <c r="G465" s="2" t="inlineStr"/>
      <c r="H465" s="2" t="inlineStr"/>
      <c r="I465" s="2" t="inlineStr">
        <is>
          <t>Editable</t>
        </is>
      </c>
      <c r="J465" s="2" t="inlineStr"/>
      <c r="K465" s="2" t="inlineStr"/>
      <c r="L465" s="2" t="inlineStr"/>
      <c r="M465" s="2" t="inlineStr"/>
    </row>
    <row r="466">
      <c r="A466" s="2" t="inlineStr">
        <is>
          <t>Page14.CB312</t>
        </is>
      </c>
      <c r="B466" s="2" t="inlineStr">
        <is>
          <t>Page14</t>
        </is>
      </c>
      <c r="C466" s="2" t="inlineStr">
        <is>
          <t>numericEdit</t>
        </is>
      </c>
      <c r="D466" s="2" t="inlineStr"/>
      <c r="E466" s="2" t="inlineStr"/>
      <c r="F466" s="2" t="inlineStr"/>
      <c r="G466" s="2" t="inlineStr"/>
      <c r="H466" s="2" t="inlineStr"/>
      <c r="I466" s="2" t="inlineStr">
        <is>
          <t>Editable</t>
        </is>
      </c>
      <c r="J466" s="2" t="inlineStr"/>
      <c r="K466" s="2" t="inlineStr"/>
      <c r="L466" s="2" t="inlineStr"/>
      <c r="M466" s="2" t="inlineStr"/>
    </row>
    <row r="467">
      <c r="A467" s="2" t="inlineStr">
        <is>
          <t>Page14.CB313</t>
        </is>
      </c>
      <c r="B467" s="2" t="inlineStr">
        <is>
          <t>Page14</t>
        </is>
      </c>
      <c r="C467" s="2" t="inlineStr">
        <is>
          <t>numericEdit</t>
        </is>
      </c>
      <c r="D467" s="2" t="inlineStr"/>
      <c r="E467" s="2" t="inlineStr"/>
      <c r="F467" s="2" t="inlineStr"/>
      <c r="G467" s="2" t="inlineStr"/>
      <c r="H467" s="2" t="inlineStr"/>
      <c r="I467" s="2" t="inlineStr">
        <is>
          <t>Editable</t>
        </is>
      </c>
      <c r="J467" s="2" t="inlineStr"/>
      <c r="K467" s="2" t="inlineStr"/>
      <c r="L467" s="2" t="inlineStr"/>
      <c r="M467" s="2" t="inlineStr"/>
    </row>
    <row r="468">
      <c r="A468" s="2" t="inlineStr">
        <is>
          <t>Page14.C3141</t>
        </is>
      </c>
      <c r="B468" s="2" t="inlineStr">
        <is>
          <t>Page14</t>
        </is>
      </c>
      <c r="C468" s="2" t="inlineStr">
        <is>
          <t>numericEdit</t>
        </is>
      </c>
      <c r="D468" s="2" t="inlineStr"/>
      <c r="E468" s="2" t="inlineStr"/>
      <c r="F468" s="2" t="inlineStr"/>
      <c r="G468" s="2" t="inlineStr"/>
      <c r="H468" s="2" t="inlineStr"/>
      <c r="I468" s="2" t="inlineStr">
        <is>
          <t>Editable</t>
        </is>
      </c>
      <c r="J468" s="2" t="inlineStr"/>
      <c r="K468" s="2" t="inlineStr"/>
      <c r="L468" s="2" t="inlineStr"/>
      <c r="M468" s="2" t="inlineStr"/>
    </row>
    <row r="469">
      <c r="A469" s="2" t="inlineStr">
        <is>
          <t>Page14.C4142</t>
        </is>
      </c>
      <c r="B469" s="2" t="inlineStr">
        <is>
          <t>Page14</t>
        </is>
      </c>
      <c r="C469" s="2" t="inlineStr">
        <is>
          <t>numericEdit</t>
        </is>
      </c>
      <c r="D469" s="2" t="inlineStr"/>
      <c r="E469" s="2" t="inlineStr"/>
      <c r="F469" s="2" t="inlineStr"/>
      <c r="G469" s="2" t="inlineStr"/>
      <c r="H469" s="2" t="inlineStr"/>
      <c r="I469" s="2" t="inlineStr">
        <is>
          <t>Editable</t>
        </is>
      </c>
      <c r="J469" s="2" t="inlineStr"/>
      <c r="K469" s="2" t="inlineStr"/>
      <c r="L469" s="2" t="inlineStr"/>
      <c r="M469" s="2" t="inlineStr"/>
    </row>
    <row r="470">
      <c r="A470" s="2" t="inlineStr">
        <is>
          <t>Page14.CB48</t>
        </is>
      </c>
      <c r="B470" s="2" t="inlineStr">
        <is>
          <t>Page14</t>
        </is>
      </c>
      <c r="C470" s="2" t="inlineStr">
        <is>
          <t>numericEdit</t>
        </is>
      </c>
      <c r="D470" s="2" t="inlineStr"/>
      <c r="E470" s="2" t="inlineStr"/>
      <c r="F470" s="2" t="inlineStr"/>
      <c r="G470" s="2" t="inlineStr"/>
      <c r="H470" s="2" t="inlineStr"/>
      <c r="I470" s="2" t="inlineStr">
        <is>
          <t>Editable</t>
        </is>
      </c>
      <c r="J470" s="2" t="inlineStr"/>
      <c r="K470" s="2" t="inlineStr"/>
      <c r="L470" s="2" t="inlineStr"/>
      <c r="M470" s="2" t="inlineStr"/>
    </row>
    <row r="471">
      <c r="A471" s="2" t="inlineStr">
        <is>
          <t>Page14.CB49</t>
        </is>
      </c>
      <c r="B471" s="2" t="inlineStr">
        <is>
          <t>Page14</t>
        </is>
      </c>
      <c r="C471" s="2" t="inlineStr">
        <is>
          <t>numericEdit</t>
        </is>
      </c>
      <c r="D471" s="2" t="inlineStr"/>
      <c r="E471" s="2" t="inlineStr"/>
      <c r="F471" s="2" t="inlineStr"/>
      <c r="G471" s="2" t="inlineStr"/>
      <c r="H471" s="2" t="inlineStr"/>
      <c r="I471" s="2" t="inlineStr">
        <is>
          <t>Editable</t>
        </is>
      </c>
      <c r="J471" s="2" t="inlineStr"/>
      <c r="K471" s="2" t="inlineStr"/>
      <c r="L471" s="2" t="inlineStr"/>
      <c r="M471" s="2" t="inlineStr"/>
    </row>
    <row r="472">
      <c r="A472" s="2" t="inlineStr">
        <is>
          <t>Page14.CB410</t>
        </is>
      </c>
      <c r="B472" s="2" t="inlineStr">
        <is>
          <t>Page14</t>
        </is>
      </c>
      <c r="C472" s="2" t="inlineStr">
        <is>
          <t>numericEdit</t>
        </is>
      </c>
      <c r="D472" s="2" t="inlineStr"/>
      <c r="E472" s="2" t="inlineStr"/>
      <c r="F472" s="2" t="inlineStr"/>
      <c r="G472" s="2" t="inlineStr"/>
      <c r="H472" s="2" t="inlineStr"/>
      <c r="I472" s="2" t="inlineStr">
        <is>
          <t>Editable</t>
        </is>
      </c>
      <c r="J472" s="2" t="inlineStr"/>
      <c r="K472" s="2" t="inlineStr"/>
      <c r="L472" s="2" t="inlineStr"/>
      <c r="M472" s="2" t="inlineStr"/>
    </row>
    <row r="473">
      <c r="A473" s="2" t="inlineStr">
        <is>
          <t>Page14.CB411</t>
        </is>
      </c>
      <c r="B473" s="2" t="inlineStr">
        <is>
          <t>Page14</t>
        </is>
      </c>
      <c r="C473" s="2" t="inlineStr">
        <is>
          <t>numericEdit</t>
        </is>
      </c>
      <c r="D473" s="2" t="inlineStr"/>
      <c r="E473" s="2" t="inlineStr"/>
      <c r="F473" s="2" t="inlineStr"/>
      <c r="G473" s="2" t="inlineStr"/>
      <c r="H473" s="2" t="inlineStr"/>
      <c r="I473" s="2" t="inlineStr">
        <is>
          <t>Editable</t>
        </is>
      </c>
      <c r="J473" s="2" t="inlineStr"/>
      <c r="K473" s="2" t="inlineStr"/>
      <c r="L473" s="2" t="inlineStr"/>
      <c r="M473" s="2" t="inlineStr"/>
    </row>
    <row r="474">
      <c r="A474" s="2" t="inlineStr">
        <is>
          <t>Page14.CB412</t>
        </is>
      </c>
      <c r="B474" s="2" t="inlineStr">
        <is>
          <t>Page14</t>
        </is>
      </c>
      <c r="C474" s="2" t="inlineStr">
        <is>
          <t>numericEdit</t>
        </is>
      </c>
      <c r="D474" s="2" t="inlineStr"/>
      <c r="E474" s="2" t="inlineStr"/>
      <c r="F474" s="2" t="inlineStr"/>
      <c r="G474" s="2" t="inlineStr"/>
      <c r="H474" s="2" t="inlineStr"/>
      <c r="I474" s="2" t="inlineStr">
        <is>
          <t>Editable</t>
        </is>
      </c>
      <c r="J474" s="2" t="inlineStr"/>
      <c r="K474" s="2" t="inlineStr"/>
      <c r="L474" s="2" t="inlineStr"/>
      <c r="M474" s="2" t="inlineStr"/>
    </row>
    <row r="475">
      <c r="A475" s="2" t="inlineStr">
        <is>
          <t>Page14.CB413</t>
        </is>
      </c>
      <c r="B475" s="2" t="inlineStr">
        <is>
          <t>Page14</t>
        </is>
      </c>
      <c r="C475" s="2" t="inlineStr">
        <is>
          <t>numericEdit</t>
        </is>
      </c>
      <c r="D475" s="2" t="inlineStr"/>
      <c r="E475" s="2" t="inlineStr"/>
      <c r="F475" s="2" t="inlineStr"/>
      <c r="G475" s="2" t="inlineStr"/>
      <c r="H475" s="2" t="inlineStr"/>
      <c r="I475" s="2" t="inlineStr">
        <is>
          <t>Editable</t>
        </is>
      </c>
      <c r="J475" s="2" t="inlineStr"/>
      <c r="K475" s="2" t="inlineStr"/>
      <c r="L475" s="2" t="inlineStr"/>
      <c r="M475" s="2" t="inlineStr"/>
    </row>
    <row r="476">
      <c r="A476" s="2" t="inlineStr">
        <is>
          <t>Page14.C4141</t>
        </is>
      </c>
      <c r="B476" s="2" t="inlineStr">
        <is>
          <t>Page14</t>
        </is>
      </c>
      <c r="C476" s="2" t="inlineStr">
        <is>
          <t>numericEdit</t>
        </is>
      </c>
      <c r="D476" s="2" t="inlineStr"/>
      <c r="E476" s="2" t="inlineStr"/>
      <c r="F476" s="2" t="inlineStr"/>
      <c r="G476" s="2" t="inlineStr"/>
      <c r="H476" s="2" t="inlineStr"/>
      <c r="I476" s="2" t="inlineStr">
        <is>
          <t>Editable</t>
        </is>
      </c>
      <c r="J476" s="2" t="inlineStr"/>
      <c r="K476" s="2" t="inlineStr"/>
      <c r="L476" s="2" t="inlineStr"/>
      <c r="M476" s="2" t="inlineStr"/>
    </row>
    <row r="477">
      <c r="A477" s="2" t="inlineStr">
        <is>
          <t>Page14.C5142</t>
        </is>
      </c>
      <c r="B477" s="2" t="inlineStr">
        <is>
          <t>Page14</t>
        </is>
      </c>
      <c r="C477" s="2" t="inlineStr">
        <is>
          <t>numericEdit</t>
        </is>
      </c>
      <c r="D477" s="2" t="inlineStr"/>
      <c r="E477" s="2" t="inlineStr"/>
      <c r="F477" s="2" t="inlineStr"/>
      <c r="G477" s="2" t="inlineStr"/>
      <c r="H477" s="2" t="inlineStr"/>
      <c r="I477" s="2" t="inlineStr">
        <is>
          <t>Editable</t>
        </is>
      </c>
      <c r="J477" s="2" t="inlineStr"/>
      <c r="K477" s="2" t="inlineStr"/>
      <c r="L477" s="2" t="inlineStr"/>
      <c r="M477" s="2" t="inlineStr"/>
    </row>
    <row r="478">
      <c r="A478" s="2" t="inlineStr">
        <is>
          <t>Page14.CB58</t>
        </is>
      </c>
      <c r="B478" s="2" t="inlineStr">
        <is>
          <t>Page14</t>
        </is>
      </c>
      <c r="C478" s="2" t="inlineStr">
        <is>
          <t>numericEdit</t>
        </is>
      </c>
      <c r="D478" s="2" t="inlineStr"/>
      <c r="E478" s="2" t="inlineStr"/>
      <c r="F478" s="2" t="inlineStr"/>
      <c r="G478" s="2" t="inlineStr"/>
      <c r="H478" s="2" t="inlineStr"/>
      <c r="I478" s="2" t="inlineStr">
        <is>
          <t>Editable</t>
        </is>
      </c>
      <c r="J478" s="2" t="inlineStr"/>
      <c r="K478" s="2" t="inlineStr"/>
      <c r="L478" s="2" t="inlineStr"/>
      <c r="M478" s="2" t="inlineStr"/>
    </row>
    <row r="479">
      <c r="A479" s="2" t="inlineStr">
        <is>
          <t>Page14.CB59</t>
        </is>
      </c>
      <c r="B479" s="2" t="inlineStr">
        <is>
          <t>Page14</t>
        </is>
      </c>
      <c r="C479" s="2" t="inlineStr">
        <is>
          <t>numericEdit</t>
        </is>
      </c>
      <c r="D479" s="2" t="inlineStr"/>
      <c r="E479" s="2" t="inlineStr"/>
      <c r="F479" s="2" t="inlineStr"/>
      <c r="G479" s="2" t="inlineStr"/>
      <c r="H479" s="2" t="inlineStr"/>
      <c r="I479" s="2" t="inlineStr">
        <is>
          <t>Editable</t>
        </is>
      </c>
      <c r="J479" s="2" t="inlineStr"/>
      <c r="K479" s="2" t="inlineStr"/>
      <c r="L479" s="2" t="inlineStr"/>
      <c r="M479" s="2" t="inlineStr"/>
    </row>
    <row r="480">
      <c r="A480" s="2" t="inlineStr">
        <is>
          <t>Page14.CB510</t>
        </is>
      </c>
      <c r="B480" s="2" t="inlineStr">
        <is>
          <t>Page14</t>
        </is>
      </c>
      <c r="C480" s="2" t="inlineStr">
        <is>
          <t>numericEdit</t>
        </is>
      </c>
      <c r="D480" s="2" t="inlineStr"/>
      <c r="E480" s="2" t="inlineStr"/>
      <c r="F480" s="2" t="inlineStr"/>
      <c r="G480" s="2" t="inlineStr"/>
      <c r="H480" s="2" t="inlineStr"/>
      <c r="I480" s="2" t="inlineStr">
        <is>
          <t>Editable</t>
        </is>
      </c>
      <c r="J480" s="2" t="inlineStr"/>
      <c r="K480" s="2" t="inlineStr"/>
      <c r="L480" s="2" t="inlineStr"/>
      <c r="M480" s="2" t="inlineStr"/>
    </row>
    <row r="481">
      <c r="A481" s="2" t="inlineStr">
        <is>
          <t>Page14.CB511</t>
        </is>
      </c>
      <c r="B481" s="2" t="inlineStr">
        <is>
          <t>Page14</t>
        </is>
      </c>
      <c r="C481" s="2" t="inlineStr">
        <is>
          <t>numericEdit</t>
        </is>
      </c>
      <c r="D481" s="2" t="inlineStr"/>
      <c r="E481" s="2" t="inlineStr"/>
      <c r="F481" s="2" t="inlineStr"/>
      <c r="G481" s="2" t="inlineStr"/>
      <c r="H481" s="2" t="inlineStr"/>
      <c r="I481" s="2" t="inlineStr">
        <is>
          <t>Editable</t>
        </is>
      </c>
      <c r="J481" s="2" t="inlineStr"/>
      <c r="K481" s="2" t="inlineStr"/>
      <c r="L481" s="2" t="inlineStr"/>
      <c r="M481" s="2" t="inlineStr"/>
    </row>
    <row r="482">
      <c r="A482" s="2" t="inlineStr">
        <is>
          <t>Page14.CB512</t>
        </is>
      </c>
      <c r="B482" s="2" t="inlineStr">
        <is>
          <t>Page14</t>
        </is>
      </c>
      <c r="C482" s="2" t="inlineStr">
        <is>
          <t>numericEdit</t>
        </is>
      </c>
      <c r="D482" s="2" t="inlineStr"/>
      <c r="E482" s="2" t="inlineStr"/>
      <c r="F482" s="2" t="inlineStr"/>
      <c r="G482" s="2" t="inlineStr"/>
      <c r="H482" s="2" t="inlineStr"/>
      <c r="I482" s="2" t="inlineStr">
        <is>
          <t>Editable</t>
        </is>
      </c>
      <c r="J482" s="2" t="inlineStr"/>
      <c r="K482" s="2" t="inlineStr"/>
      <c r="L482" s="2" t="inlineStr"/>
      <c r="M482" s="2" t="inlineStr"/>
    </row>
    <row r="483">
      <c r="A483" s="2" t="inlineStr">
        <is>
          <t>Page14.CB513</t>
        </is>
      </c>
      <c r="B483" s="2" t="inlineStr">
        <is>
          <t>Page14</t>
        </is>
      </c>
      <c r="C483" s="2" t="inlineStr">
        <is>
          <t>numericEdit</t>
        </is>
      </c>
      <c r="D483" s="2" t="inlineStr"/>
      <c r="E483" s="2" t="inlineStr"/>
      <c r="F483" s="2" t="inlineStr"/>
      <c r="G483" s="2" t="inlineStr"/>
      <c r="H483" s="2" t="inlineStr"/>
      <c r="I483" s="2" t="inlineStr">
        <is>
          <t>Editable</t>
        </is>
      </c>
      <c r="J483" s="2" t="inlineStr"/>
      <c r="K483" s="2" t="inlineStr"/>
      <c r="L483" s="2" t="inlineStr"/>
      <c r="M483" s="2" t="inlineStr"/>
    </row>
    <row r="484">
      <c r="A484" s="2" t="inlineStr">
        <is>
          <t>Page14.C5141</t>
        </is>
      </c>
      <c r="B484" s="2" t="inlineStr">
        <is>
          <t>Page14</t>
        </is>
      </c>
      <c r="C484" s="2" t="inlineStr">
        <is>
          <t>numericEdit</t>
        </is>
      </c>
      <c r="D484" s="2" t="inlineStr"/>
      <c r="E484" s="2" t="inlineStr"/>
      <c r="F484" s="2" t="inlineStr"/>
      <c r="G484" s="2" t="inlineStr"/>
      <c r="H484" s="2" t="inlineStr"/>
      <c r="I484" s="2" t="inlineStr">
        <is>
          <t>Editable</t>
        </is>
      </c>
      <c r="J484" s="2" t="inlineStr"/>
      <c r="K484" s="2" t="inlineStr"/>
      <c r="L484" s="2" t="inlineStr"/>
      <c r="M484" s="2" t="inlineStr"/>
    </row>
    <row r="485">
      <c r="A485" s="2" t="inlineStr">
        <is>
          <t>Page14.C6142</t>
        </is>
      </c>
      <c r="B485" s="2" t="inlineStr">
        <is>
          <t>Page14</t>
        </is>
      </c>
      <c r="C485" s="2" t="inlineStr">
        <is>
          <t>numericEdit</t>
        </is>
      </c>
      <c r="D485" s="2" t="inlineStr"/>
      <c r="E485" s="2" t="inlineStr"/>
      <c r="F485" s="2" t="inlineStr"/>
      <c r="G485" s="2" t="inlineStr"/>
      <c r="H485" s="2" t="inlineStr"/>
      <c r="I485" s="2" t="inlineStr">
        <is>
          <t>Editable</t>
        </is>
      </c>
      <c r="J485" s="2" t="inlineStr"/>
      <c r="K485" s="2" t="inlineStr"/>
      <c r="L485" s="2" t="inlineStr"/>
      <c r="M485" s="2" t="inlineStr"/>
    </row>
    <row r="486">
      <c r="A486" s="2" t="inlineStr">
        <is>
          <t>Page14.CB68</t>
        </is>
      </c>
      <c r="B486" s="2" t="inlineStr">
        <is>
          <t>Page14</t>
        </is>
      </c>
      <c r="C486" s="2" t="inlineStr">
        <is>
          <t>numericEdit</t>
        </is>
      </c>
      <c r="D486" s="2" t="inlineStr"/>
      <c r="E486" s="2" t="inlineStr"/>
      <c r="F486" s="2" t="inlineStr"/>
      <c r="G486" s="2" t="inlineStr"/>
      <c r="H486" s="2" t="inlineStr"/>
      <c r="I486" s="2" t="inlineStr">
        <is>
          <t>Editable</t>
        </is>
      </c>
      <c r="J486" s="2" t="inlineStr"/>
      <c r="K486" s="2" t="inlineStr"/>
      <c r="L486" s="2" t="inlineStr"/>
      <c r="M486" s="2" t="inlineStr"/>
    </row>
    <row r="487">
      <c r="A487" s="2" t="inlineStr">
        <is>
          <t>Page14.CB69</t>
        </is>
      </c>
      <c r="B487" s="2" t="inlineStr">
        <is>
          <t>Page14</t>
        </is>
      </c>
      <c r="C487" s="2" t="inlineStr">
        <is>
          <t>numericEdit</t>
        </is>
      </c>
      <c r="D487" s="2" t="inlineStr"/>
      <c r="E487" s="2" t="inlineStr"/>
      <c r="F487" s="2" t="inlineStr"/>
      <c r="G487" s="2" t="inlineStr"/>
      <c r="H487" s="2" t="inlineStr"/>
      <c r="I487" s="2" t="inlineStr">
        <is>
          <t>Editable</t>
        </is>
      </c>
      <c r="J487" s="2" t="inlineStr"/>
      <c r="K487" s="2" t="inlineStr"/>
      <c r="L487" s="2" t="inlineStr"/>
      <c r="M487" s="2" t="inlineStr"/>
    </row>
    <row r="488">
      <c r="A488" s="2" t="inlineStr">
        <is>
          <t>Page14.CB610</t>
        </is>
      </c>
      <c r="B488" s="2" t="inlineStr">
        <is>
          <t>Page14</t>
        </is>
      </c>
      <c r="C488" s="2" t="inlineStr">
        <is>
          <t>numericEdit</t>
        </is>
      </c>
      <c r="D488" s="2" t="inlineStr"/>
      <c r="E488" s="2" t="inlineStr"/>
      <c r="F488" s="2" t="inlineStr"/>
      <c r="G488" s="2" t="inlineStr"/>
      <c r="H488" s="2" t="inlineStr"/>
      <c r="I488" s="2" t="inlineStr">
        <is>
          <t>Editable</t>
        </is>
      </c>
      <c r="J488" s="2" t="inlineStr"/>
      <c r="K488" s="2" t="inlineStr"/>
      <c r="L488" s="2" t="inlineStr"/>
      <c r="M488" s="2" t="inlineStr"/>
    </row>
    <row r="489">
      <c r="A489" s="2" t="inlineStr">
        <is>
          <t>Page14.CB611</t>
        </is>
      </c>
      <c r="B489" s="2" t="inlineStr">
        <is>
          <t>Page14</t>
        </is>
      </c>
      <c r="C489" s="2" t="inlineStr">
        <is>
          <t>numericEdit</t>
        </is>
      </c>
      <c r="D489" s="2" t="inlineStr"/>
      <c r="E489" s="2" t="inlineStr"/>
      <c r="F489" s="2" t="inlineStr"/>
      <c r="G489" s="2" t="inlineStr"/>
      <c r="H489" s="2" t="inlineStr"/>
      <c r="I489" s="2" t="inlineStr">
        <is>
          <t>Editable</t>
        </is>
      </c>
      <c r="J489" s="2" t="inlineStr"/>
      <c r="K489" s="2" t="inlineStr"/>
      <c r="L489" s="2" t="inlineStr"/>
      <c r="M489" s="2" t="inlineStr"/>
    </row>
    <row r="490">
      <c r="A490" s="2" t="inlineStr">
        <is>
          <t>Page14.CB612</t>
        </is>
      </c>
      <c r="B490" s="2" t="inlineStr">
        <is>
          <t>Page14</t>
        </is>
      </c>
      <c r="C490" s="2" t="inlineStr">
        <is>
          <t>numericEdit</t>
        </is>
      </c>
      <c r="D490" s="2" t="inlineStr"/>
      <c r="E490" s="2" t="inlineStr"/>
      <c r="F490" s="2" t="inlineStr"/>
      <c r="G490" s="2" t="inlineStr"/>
      <c r="H490" s="2" t="inlineStr"/>
      <c r="I490" s="2" t="inlineStr">
        <is>
          <t>Editable</t>
        </is>
      </c>
      <c r="J490" s="2" t="inlineStr"/>
      <c r="K490" s="2" t="inlineStr"/>
      <c r="L490" s="2" t="inlineStr"/>
      <c r="M490" s="2" t="inlineStr"/>
    </row>
    <row r="491">
      <c r="A491" s="2" t="inlineStr">
        <is>
          <t>Page14.CB613</t>
        </is>
      </c>
      <c r="B491" s="2" t="inlineStr">
        <is>
          <t>Page14</t>
        </is>
      </c>
      <c r="C491" s="2" t="inlineStr">
        <is>
          <t>numericEdit</t>
        </is>
      </c>
      <c r="D491" s="2" t="inlineStr"/>
      <c r="E491" s="2" t="inlineStr"/>
      <c r="F491" s="2" t="inlineStr"/>
      <c r="G491" s="2" t="inlineStr"/>
      <c r="H491" s="2" t="inlineStr"/>
      <c r="I491" s="2" t="inlineStr">
        <is>
          <t>Editable</t>
        </is>
      </c>
      <c r="J491" s="2" t="inlineStr"/>
      <c r="K491" s="2" t="inlineStr"/>
      <c r="L491" s="2" t="inlineStr"/>
      <c r="M491" s="2" t="inlineStr"/>
    </row>
    <row r="492">
      <c r="A492" s="2" t="inlineStr">
        <is>
          <t>Page14.C6141</t>
        </is>
      </c>
      <c r="B492" s="2" t="inlineStr">
        <is>
          <t>Page14</t>
        </is>
      </c>
      <c r="C492" s="2" t="inlineStr">
        <is>
          <t>numericEdit</t>
        </is>
      </c>
      <c r="D492" s="2" t="inlineStr"/>
      <c r="E492" s="2" t="inlineStr"/>
      <c r="F492" s="2" t="inlineStr"/>
      <c r="G492" s="2" t="inlineStr"/>
      <c r="H492" s="2" t="inlineStr"/>
      <c r="I492" s="2" t="inlineStr">
        <is>
          <t>Editable</t>
        </is>
      </c>
      <c r="J492" s="2" t="inlineStr"/>
      <c r="K492" s="2" t="inlineStr"/>
      <c r="L492" s="2" t="inlineStr"/>
      <c r="M492" s="2" t="inlineStr"/>
    </row>
    <row r="493">
      <c r="A493" s="2" t="inlineStr">
        <is>
          <t>Page14.C7142</t>
        </is>
      </c>
      <c r="B493" s="2" t="inlineStr">
        <is>
          <t>Page14</t>
        </is>
      </c>
      <c r="C493" s="2" t="inlineStr">
        <is>
          <t>numericEdit</t>
        </is>
      </c>
      <c r="D493" s="2" t="inlineStr"/>
      <c r="E493" s="2" t="inlineStr"/>
      <c r="F493" s="2" t="inlineStr"/>
      <c r="G493" s="2" t="inlineStr"/>
      <c r="H493" s="2" t="inlineStr"/>
      <c r="I493" s="2" t="inlineStr">
        <is>
          <t>Editable</t>
        </is>
      </c>
      <c r="J493" s="2" t="inlineStr"/>
      <c r="K493" s="2" t="inlineStr"/>
      <c r="L493" s="2" t="inlineStr"/>
      <c r="M493" s="2" t="inlineStr"/>
    </row>
    <row r="494">
      <c r="A494" s="2" t="inlineStr">
        <is>
          <t>Page14.CB78</t>
        </is>
      </c>
      <c r="B494" s="2" t="inlineStr">
        <is>
          <t>Page14</t>
        </is>
      </c>
      <c r="C494" s="2" t="inlineStr">
        <is>
          <t>numericEdit</t>
        </is>
      </c>
      <c r="D494" s="2" t="inlineStr"/>
      <c r="E494" s="2" t="inlineStr"/>
      <c r="F494" s="2" t="inlineStr"/>
      <c r="G494" s="2" t="inlineStr"/>
      <c r="H494" s="2" t="inlineStr"/>
      <c r="I494" s="2" t="inlineStr">
        <is>
          <t>Editable</t>
        </is>
      </c>
      <c r="J494" s="2" t="inlineStr"/>
      <c r="K494" s="2" t="inlineStr"/>
      <c r="L494" s="2" t="inlineStr"/>
      <c r="M494" s="2" t="inlineStr"/>
    </row>
    <row r="495">
      <c r="A495" s="2" t="inlineStr">
        <is>
          <t>Page14.CB79</t>
        </is>
      </c>
      <c r="B495" s="2" t="inlineStr">
        <is>
          <t>Page14</t>
        </is>
      </c>
      <c r="C495" s="2" t="inlineStr">
        <is>
          <t>numericEdit</t>
        </is>
      </c>
      <c r="D495" s="2" t="inlineStr"/>
      <c r="E495" s="2" t="inlineStr"/>
      <c r="F495" s="2" t="inlineStr"/>
      <c r="G495" s="2" t="inlineStr"/>
      <c r="H495" s="2" t="inlineStr"/>
      <c r="I495" s="2" t="inlineStr">
        <is>
          <t>Editable</t>
        </is>
      </c>
      <c r="J495" s="2" t="inlineStr"/>
      <c r="K495" s="2" t="inlineStr"/>
      <c r="L495" s="2" t="inlineStr"/>
      <c r="M495" s="2" t="inlineStr"/>
    </row>
    <row r="496">
      <c r="A496" s="2" t="inlineStr">
        <is>
          <t>Page14.CB710</t>
        </is>
      </c>
      <c r="B496" s="2" t="inlineStr">
        <is>
          <t>Page14</t>
        </is>
      </c>
      <c r="C496" s="2" t="inlineStr">
        <is>
          <t>numericEdit</t>
        </is>
      </c>
      <c r="D496" s="2" t="inlineStr"/>
      <c r="E496" s="2" t="inlineStr"/>
      <c r="F496" s="2" t="inlineStr"/>
      <c r="G496" s="2" t="inlineStr"/>
      <c r="H496" s="2" t="inlineStr"/>
      <c r="I496" s="2" t="inlineStr">
        <is>
          <t>Editable</t>
        </is>
      </c>
      <c r="J496" s="2" t="inlineStr"/>
      <c r="K496" s="2" t="inlineStr"/>
      <c r="L496" s="2" t="inlineStr"/>
      <c r="M496" s="2" t="inlineStr"/>
    </row>
    <row r="497">
      <c r="A497" s="2" t="inlineStr">
        <is>
          <t>Page14.CB711</t>
        </is>
      </c>
      <c r="B497" s="2" t="inlineStr">
        <is>
          <t>Page14</t>
        </is>
      </c>
      <c r="C497" s="2" t="inlineStr">
        <is>
          <t>numericEdit</t>
        </is>
      </c>
      <c r="D497" s="2" t="inlineStr"/>
      <c r="E497" s="2" t="inlineStr"/>
      <c r="F497" s="2" t="inlineStr"/>
      <c r="G497" s="2" t="inlineStr"/>
      <c r="H497" s="2" t="inlineStr"/>
      <c r="I497" s="2" t="inlineStr">
        <is>
          <t>Editable</t>
        </is>
      </c>
      <c r="J497" s="2" t="inlineStr"/>
      <c r="K497" s="2" t="inlineStr"/>
      <c r="L497" s="2" t="inlineStr"/>
      <c r="M497" s="2" t="inlineStr"/>
    </row>
    <row r="498">
      <c r="A498" s="2" t="inlineStr">
        <is>
          <t>Page14.CB712</t>
        </is>
      </c>
      <c r="B498" s="2" t="inlineStr">
        <is>
          <t>Page14</t>
        </is>
      </c>
      <c r="C498" s="2" t="inlineStr">
        <is>
          <t>numericEdit</t>
        </is>
      </c>
      <c r="D498" s="2" t="inlineStr"/>
      <c r="E498" s="2" t="inlineStr"/>
      <c r="F498" s="2" t="inlineStr"/>
      <c r="G498" s="2" t="inlineStr"/>
      <c r="H498" s="2" t="inlineStr"/>
      <c r="I498" s="2" t="inlineStr">
        <is>
          <t>Editable</t>
        </is>
      </c>
      <c r="J498" s="2" t="inlineStr"/>
      <c r="K498" s="2" t="inlineStr"/>
      <c r="L498" s="2" t="inlineStr"/>
      <c r="M498" s="2" t="inlineStr"/>
    </row>
    <row r="499">
      <c r="A499" s="2" t="inlineStr">
        <is>
          <t>Page14.CB713</t>
        </is>
      </c>
      <c r="B499" s="2" t="inlineStr">
        <is>
          <t>Page14</t>
        </is>
      </c>
      <c r="C499" s="2" t="inlineStr">
        <is>
          <t>numericEdit</t>
        </is>
      </c>
      <c r="D499" s="2" t="inlineStr"/>
      <c r="E499" s="2" t="inlineStr"/>
      <c r="F499" s="2" t="inlineStr"/>
      <c r="G499" s="2" t="inlineStr"/>
      <c r="H499" s="2" t="inlineStr"/>
      <c r="I499" s="2" t="inlineStr">
        <is>
          <t>Editable</t>
        </is>
      </c>
      <c r="J499" s="2" t="inlineStr"/>
      <c r="K499" s="2" t="inlineStr"/>
      <c r="L499" s="2" t="inlineStr"/>
      <c r="M499" s="2" t="inlineStr"/>
    </row>
    <row r="500">
      <c r="A500" s="2" t="inlineStr">
        <is>
          <t>Page14.C7141</t>
        </is>
      </c>
      <c r="B500" s="2" t="inlineStr">
        <is>
          <t>Page14</t>
        </is>
      </c>
      <c r="C500" s="2" t="inlineStr">
        <is>
          <t>numericEdit</t>
        </is>
      </c>
      <c r="D500" s="2" t="inlineStr"/>
      <c r="E500" s="2" t="inlineStr"/>
      <c r="F500" s="2" t="inlineStr"/>
      <c r="G500" s="2" t="inlineStr"/>
      <c r="H500" s="2" t="inlineStr"/>
      <c r="I500" s="2" t="inlineStr">
        <is>
          <t>Editable</t>
        </is>
      </c>
      <c r="J500" s="2" t="inlineStr"/>
      <c r="K500" s="2" t="inlineStr"/>
      <c r="L500" s="2" t="inlineStr"/>
      <c r="M500" s="2" t="inlineStr"/>
    </row>
    <row r="501">
      <c r="A501" s="2" t="inlineStr">
        <is>
          <t>Page14.C8142</t>
        </is>
      </c>
      <c r="B501" s="2" t="inlineStr">
        <is>
          <t>Page14</t>
        </is>
      </c>
      <c r="C501" s="2" t="inlineStr">
        <is>
          <t>numericEdit</t>
        </is>
      </c>
      <c r="D501" s="2" t="inlineStr"/>
      <c r="E501" s="2" t="inlineStr"/>
      <c r="F501" s="2" t="inlineStr"/>
      <c r="G501" s="2" t="inlineStr"/>
      <c r="H501" s="2" t="inlineStr"/>
      <c r="I501" s="2" t="inlineStr">
        <is>
          <t>Editable</t>
        </is>
      </c>
      <c r="J501" s="2" t="inlineStr"/>
      <c r="K501" s="2" t="inlineStr"/>
      <c r="L501" s="2" t="inlineStr"/>
      <c r="M501" s="2" t="inlineStr"/>
    </row>
    <row r="502">
      <c r="A502" s="2" t="inlineStr">
        <is>
          <t>Page14.CB88</t>
        </is>
      </c>
      <c r="B502" s="2" t="inlineStr">
        <is>
          <t>Page14</t>
        </is>
      </c>
      <c r="C502" s="2" t="inlineStr">
        <is>
          <t>numericEdit</t>
        </is>
      </c>
      <c r="D502" s="2" t="inlineStr"/>
      <c r="E502" s="2" t="inlineStr"/>
      <c r="F502" s="2" t="inlineStr"/>
      <c r="G502" s="2" t="inlineStr"/>
      <c r="H502" s="2" t="inlineStr"/>
      <c r="I502" s="2" t="inlineStr">
        <is>
          <t>Editable</t>
        </is>
      </c>
      <c r="J502" s="2" t="inlineStr"/>
      <c r="K502" s="2" t="inlineStr"/>
      <c r="L502" s="2" t="inlineStr"/>
      <c r="M502" s="2" t="inlineStr"/>
    </row>
    <row r="503">
      <c r="A503" s="2" t="inlineStr">
        <is>
          <t>Page14.CB89</t>
        </is>
      </c>
      <c r="B503" s="2" t="inlineStr">
        <is>
          <t>Page14</t>
        </is>
      </c>
      <c r="C503" s="2" t="inlineStr">
        <is>
          <t>numericEdit</t>
        </is>
      </c>
      <c r="D503" s="2" t="inlineStr"/>
      <c r="E503" s="2" t="inlineStr"/>
      <c r="F503" s="2" t="inlineStr"/>
      <c r="G503" s="2" t="inlineStr"/>
      <c r="H503" s="2" t="inlineStr"/>
      <c r="I503" s="2" t="inlineStr">
        <is>
          <t>Editable</t>
        </is>
      </c>
      <c r="J503" s="2" t="inlineStr"/>
      <c r="K503" s="2" t="inlineStr"/>
      <c r="L503" s="2" t="inlineStr"/>
      <c r="M503" s="2" t="inlineStr"/>
    </row>
    <row r="504">
      <c r="A504" s="2" t="inlineStr">
        <is>
          <t>Page14.CB810</t>
        </is>
      </c>
      <c r="B504" s="2" t="inlineStr">
        <is>
          <t>Page14</t>
        </is>
      </c>
      <c r="C504" s="2" t="inlineStr">
        <is>
          <t>numericEdit</t>
        </is>
      </c>
      <c r="D504" s="2" t="inlineStr"/>
      <c r="E504" s="2" t="inlineStr"/>
      <c r="F504" s="2" t="inlineStr"/>
      <c r="G504" s="2" t="inlineStr"/>
      <c r="H504" s="2" t="inlineStr"/>
      <c r="I504" s="2" t="inlineStr">
        <is>
          <t>Editable</t>
        </is>
      </c>
      <c r="J504" s="2" t="inlineStr"/>
      <c r="K504" s="2" t="inlineStr"/>
      <c r="L504" s="2" t="inlineStr"/>
      <c r="M504" s="2" t="inlineStr"/>
    </row>
    <row r="505">
      <c r="A505" s="2" t="inlineStr">
        <is>
          <t>Page14.CB811</t>
        </is>
      </c>
      <c r="B505" s="2" t="inlineStr">
        <is>
          <t>Page14</t>
        </is>
      </c>
      <c r="C505" s="2" t="inlineStr">
        <is>
          <t>numericEdit</t>
        </is>
      </c>
      <c r="D505" s="2" t="inlineStr"/>
      <c r="E505" s="2" t="inlineStr"/>
      <c r="F505" s="2" t="inlineStr"/>
      <c r="G505" s="2" t="inlineStr"/>
      <c r="H505" s="2" t="inlineStr"/>
      <c r="I505" s="2" t="inlineStr">
        <is>
          <t>Editable</t>
        </is>
      </c>
      <c r="J505" s="2" t="inlineStr"/>
      <c r="K505" s="2" t="inlineStr"/>
      <c r="L505" s="2" t="inlineStr"/>
      <c r="M505" s="2" t="inlineStr"/>
    </row>
    <row r="506">
      <c r="A506" s="2" t="inlineStr">
        <is>
          <t>Page14.CB812</t>
        </is>
      </c>
      <c r="B506" s="2" t="inlineStr">
        <is>
          <t>Page14</t>
        </is>
      </c>
      <c r="C506" s="2" t="inlineStr">
        <is>
          <t>numericEdit</t>
        </is>
      </c>
      <c r="D506" s="2" t="inlineStr"/>
      <c r="E506" s="2" t="inlineStr"/>
      <c r="F506" s="2" t="inlineStr"/>
      <c r="G506" s="2" t="inlineStr"/>
      <c r="H506" s="2" t="inlineStr"/>
      <c r="I506" s="2" t="inlineStr">
        <is>
          <t>Editable</t>
        </is>
      </c>
      <c r="J506" s="2" t="inlineStr"/>
      <c r="K506" s="2" t="inlineStr"/>
      <c r="L506" s="2" t="inlineStr"/>
      <c r="M506" s="2" t="inlineStr"/>
    </row>
    <row r="507">
      <c r="A507" s="2" t="inlineStr">
        <is>
          <t>Page14.CB813</t>
        </is>
      </c>
      <c r="B507" s="2" t="inlineStr">
        <is>
          <t>Page14</t>
        </is>
      </c>
      <c r="C507" s="2" t="inlineStr">
        <is>
          <t>numericEdit</t>
        </is>
      </c>
      <c r="D507" s="2" t="inlineStr"/>
      <c r="E507" s="2" t="inlineStr"/>
      <c r="F507" s="2" t="inlineStr"/>
      <c r="G507" s="2" t="inlineStr"/>
      <c r="H507" s="2" t="inlineStr"/>
      <c r="I507" s="2" t="inlineStr">
        <is>
          <t>Editable</t>
        </is>
      </c>
      <c r="J507" s="2" t="inlineStr"/>
      <c r="K507" s="2" t="inlineStr"/>
      <c r="L507" s="2" t="inlineStr"/>
      <c r="M507" s="2" t="inlineStr"/>
    </row>
    <row r="508">
      <c r="A508" s="2" t="inlineStr">
        <is>
          <t>Page14.C8141</t>
        </is>
      </c>
      <c r="B508" s="2" t="inlineStr">
        <is>
          <t>Page14</t>
        </is>
      </c>
      <c r="C508" s="2" t="inlineStr">
        <is>
          <t>numericEdit</t>
        </is>
      </c>
      <c r="D508" s="2" t="inlineStr"/>
      <c r="E508" s="2" t="inlineStr"/>
      <c r="F508" s="2" t="inlineStr"/>
      <c r="G508" s="2" t="inlineStr"/>
      <c r="H508" s="2" t="inlineStr"/>
      <c r="I508" s="2" t="inlineStr">
        <is>
          <t>Editable</t>
        </is>
      </c>
      <c r="J508" s="2" t="inlineStr"/>
      <c r="K508" s="2" t="inlineStr"/>
      <c r="L508" s="2" t="inlineStr"/>
      <c r="M508" s="2" t="inlineStr"/>
    </row>
    <row r="509">
      <c r="A509" s="2" t="inlineStr">
        <is>
          <t>Page14.C9142</t>
        </is>
      </c>
      <c r="B509" s="2" t="inlineStr">
        <is>
          <t>Page14</t>
        </is>
      </c>
      <c r="C509" s="2" t="inlineStr">
        <is>
          <t>numericEdit</t>
        </is>
      </c>
      <c r="D509" s="2" t="inlineStr"/>
      <c r="E509" s="2" t="inlineStr"/>
      <c r="F509" s="2" t="inlineStr"/>
      <c r="G509" s="2" t="inlineStr"/>
      <c r="H509" s="2" t="inlineStr"/>
      <c r="I509" s="2" t="inlineStr">
        <is>
          <t>Editable</t>
        </is>
      </c>
      <c r="J509" s="2" t="inlineStr"/>
      <c r="K509" s="2" t="inlineStr"/>
      <c r="L509" s="2" t="inlineStr"/>
      <c r="M509" s="2" t="inlineStr"/>
    </row>
    <row r="510">
      <c r="A510" s="2" t="inlineStr">
        <is>
          <t>Page14.CB98</t>
        </is>
      </c>
      <c r="B510" s="2" t="inlineStr">
        <is>
          <t>Page14</t>
        </is>
      </c>
      <c r="C510" s="2" t="inlineStr">
        <is>
          <t>numericEdit</t>
        </is>
      </c>
      <c r="D510" s="2" t="inlineStr"/>
      <c r="E510" s="2" t="inlineStr"/>
      <c r="F510" s="2" t="inlineStr"/>
      <c r="G510" s="2" t="inlineStr"/>
      <c r="H510" s="2" t="inlineStr"/>
      <c r="I510" s="2" t="inlineStr">
        <is>
          <t>Editable</t>
        </is>
      </c>
      <c r="J510" s="2" t="inlineStr"/>
      <c r="K510" s="2" t="inlineStr"/>
      <c r="L510" s="2" t="inlineStr"/>
      <c r="M510" s="2" t="inlineStr"/>
    </row>
    <row r="511">
      <c r="A511" s="2" t="inlineStr">
        <is>
          <t>Page14.CB99</t>
        </is>
      </c>
      <c r="B511" s="2" t="inlineStr">
        <is>
          <t>Page14</t>
        </is>
      </c>
      <c r="C511" s="2" t="inlineStr">
        <is>
          <t>numericEdit</t>
        </is>
      </c>
      <c r="D511" s="2" t="inlineStr"/>
      <c r="E511" s="2" t="inlineStr"/>
      <c r="F511" s="2" t="inlineStr"/>
      <c r="G511" s="2" t="inlineStr"/>
      <c r="H511" s="2" t="inlineStr"/>
      <c r="I511" s="2" t="inlineStr">
        <is>
          <t>Editable</t>
        </is>
      </c>
      <c r="J511" s="2" t="inlineStr"/>
      <c r="K511" s="2" t="inlineStr"/>
      <c r="L511" s="2" t="inlineStr"/>
      <c r="M511" s="2" t="inlineStr"/>
    </row>
    <row r="512">
      <c r="A512" s="2" t="inlineStr">
        <is>
          <t>Page14.CB910</t>
        </is>
      </c>
      <c r="B512" s="2" t="inlineStr">
        <is>
          <t>Page14</t>
        </is>
      </c>
      <c r="C512" s="2" t="inlineStr">
        <is>
          <t>numericEdit</t>
        </is>
      </c>
      <c r="D512" s="2" t="inlineStr"/>
      <c r="E512" s="2" t="inlineStr"/>
      <c r="F512" s="2" t="inlineStr"/>
      <c r="G512" s="2" t="inlineStr"/>
      <c r="H512" s="2" t="inlineStr"/>
      <c r="I512" s="2" t="inlineStr">
        <is>
          <t>Editable</t>
        </is>
      </c>
      <c r="J512" s="2" t="inlineStr"/>
      <c r="K512" s="2" t="inlineStr"/>
      <c r="L512" s="2" t="inlineStr"/>
      <c r="M512" s="2" t="inlineStr"/>
    </row>
    <row r="513">
      <c r="A513" s="2" t="inlineStr">
        <is>
          <t>Page14.CB911</t>
        </is>
      </c>
      <c r="B513" s="2" t="inlineStr">
        <is>
          <t>Page14</t>
        </is>
      </c>
      <c r="C513" s="2" t="inlineStr">
        <is>
          <t>numericEdit</t>
        </is>
      </c>
      <c r="D513" s="2" t="inlineStr"/>
      <c r="E513" s="2" t="inlineStr"/>
      <c r="F513" s="2" t="inlineStr"/>
      <c r="G513" s="2" t="inlineStr"/>
      <c r="H513" s="2" t="inlineStr"/>
      <c r="I513" s="2" t="inlineStr">
        <is>
          <t>Editable</t>
        </is>
      </c>
      <c r="J513" s="2" t="inlineStr"/>
      <c r="K513" s="2" t="inlineStr"/>
      <c r="L513" s="2" t="inlineStr"/>
      <c r="M513" s="2" t="inlineStr"/>
    </row>
    <row r="514">
      <c r="A514" s="2" t="inlineStr">
        <is>
          <t>Page14.CB912</t>
        </is>
      </c>
      <c r="B514" s="2" t="inlineStr">
        <is>
          <t>Page14</t>
        </is>
      </c>
      <c r="C514" s="2" t="inlineStr">
        <is>
          <t>numericEdit</t>
        </is>
      </c>
      <c r="D514" s="2" t="inlineStr"/>
      <c r="E514" s="2" t="inlineStr"/>
      <c r="F514" s="2" t="inlineStr"/>
      <c r="G514" s="2" t="inlineStr"/>
      <c r="H514" s="2" t="inlineStr"/>
      <c r="I514" s="2" t="inlineStr">
        <is>
          <t>Editable</t>
        </is>
      </c>
      <c r="J514" s="2" t="inlineStr"/>
      <c r="K514" s="2" t="inlineStr"/>
      <c r="L514" s="2" t="inlineStr"/>
      <c r="M514" s="2" t="inlineStr"/>
    </row>
    <row r="515">
      <c r="A515" s="2" t="inlineStr">
        <is>
          <t>Page14.CB913</t>
        </is>
      </c>
      <c r="B515" s="2" t="inlineStr">
        <is>
          <t>Page14</t>
        </is>
      </c>
      <c r="C515" s="2" t="inlineStr">
        <is>
          <t>numericEdit</t>
        </is>
      </c>
      <c r="D515" s="2" t="inlineStr"/>
      <c r="E515" s="2" t="inlineStr"/>
      <c r="F515" s="2" t="inlineStr"/>
      <c r="G515" s="2" t="inlineStr"/>
      <c r="H515" s="2" t="inlineStr"/>
      <c r="I515" s="2" t="inlineStr">
        <is>
          <t>Editable</t>
        </is>
      </c>
      <c r="J515" s="2" t="inlineStr"/>
      <c r="K515" s="2" t="inlineStr"/>
      <c r="L515" s="2" t="inlineStr"/>
      <c r="M515" s="2" t="inlineStr"/>
    </row>
    <row r="516">
      <c r="A516" s="2" t="inlineStr">
        <is>
          <t>Page14.C9141</t>
        </is>
      </c>
      <c r="B516" s="2" t="inlineStr">
        <is>
          <t>Page14</t>
        </is>
      </c>
      <c r="C516" s="2" t="inlineStr">
        <is>
          <t>numericEdit</t>
        </is>
      </c>
      <c r="D516" s="2" t="inlineStr"/>
      <c r="E516" s="2" t="inlineStr"/>
      <c r="F516" s="2" t="inlineStr"/>
      <c r="G516" s="2" t="inlineStr"/>
      <c r="H516" s="2" t="inlineStr"/>
      <c r="I516" s="2" t="inlineStr">
        <is>
          <t>Editable</t>
        </is>
      </c>
      <c r="J516" s="2" t="inlineStr"/>
      <c r="K516" s="2" t="inlineStr"/>
      <c r="L516" s="2" t="inlineStr"/>
      <c r="M516" s="2" t="inlineStr"/>
    </row>
    <row r="517">
      <c r="A517" s="2" t="inlineStr">
        <is>
          <t>Page14.C10142</t>
        </is>
      </c>
      <c r="B517" s="2" t="inlineStr">
        <is>
          <t>Page14</t>
        </is>
      </c>
      <c r="C517" s="2" t="inlineStr">
        <is>
          <t>numericEdit</t>
        </is>
      </c>
      <c r="D517" s="2" t="inlineStr"/>
      <c r="E517" s="2" t="inlineStr"/>
      <c r="F517" s="2" t="inlineStr"/>
      <c r="G517" s="2" t="inlineStr"/>
      <c r="H517" s="2" t="inlineStr"/>
      <c r="I517" s="2" t="inlineStr">
        <is>
          <t>Editable</t>
        </is>
      </c>
      <c r="J517" s="2" t="inlineStr"/>
      <c r="K517" s="2" t="inlineStr"/>
      <c r="L517" s="2" t="inlineStr"/>
      <c r="M517" s="2" t="inlineStr"/>
    </row>
    <row r="518">
      <c r="A518" s="2" t="inlineStr">
        <is>
          <t>Page14.CB108</t>
        </is>
      </c>
      <c r="B518" s="2" t="inlineStr">
        <is>
          <t>Page14</t>
        </is>
      </c>
      <c r="C518" s="2" t="inlineStr">
        <is>
          <t>numericEdit</t>
        </is>
      </c>
      <c r="D518" s="2" t="inlineStr"/>
      <c r="E518" s="2" t="inlineStr"/>
      <c r="F518" s="2" t="inlineStr"/>
      <c r="G518" s="2" t="inlineStr"/>
      <c r="H518" s="2" t="inlineStr"/>
      <c r="I518" s="2" t="inlineStr">
        <is>
          <t>Editable</t>
        </is>
      </c>
      <c r="J518" s="2" t="inlineStr"/>
      <c r="K518" s="2" t="inlineStr"/>
      <c r="L518" s="2" t="inlineStr"/>
      <c r="M518" s="2" t="inlineStr"/>
    </row>
    <row r="519">
      <c r="A519" s="2" t="inlineStr">
        <is>
          <t>Page14.CB109</t>
        </is>
      </c>
      <c r="B519" s="2" t="inlineStr">
        <is>
          <t>Page14</t>
        </is>
      </c>
      <c r="C519" s="2" t="inlineStr">
        <is>
          <t>numericEdit</t>
        </is>
      </c>
      <c r="D519" s="2" t="inlineStr"/>
      <c r="E519" s="2" t="inlineStr"/>
      <c r="F519" s="2" t="inlineStr"/>
      <c r="G519" s="2" t="inlineStr"/>
      <c r="H519" s="2" t="inlineStr"/>
      <c r="I519" s="2" t="inlineStr">
        <is>
          <t>Editable</t>
        </is>
      </c>
      <c r="J519" s="2" t="inlineStr"/>
      <c r="K519" s="2" t="inlineStr"/>
      <c r="L519" s="2" t="inlineStr"/>
      <c r="M519" s="2" t="inlineStr"/>
    </row>
    <row r="520">
      <c r="A520" s="2" t="inlineStr">
        <is>
          <t>Page14.CB1010</t>
        </is>
      </c>
      <c r="B520" s="2" t="inlineStr">
        <is>
          <t>Page14</t>
        </is>
      </c>
      <c r="C520" s="2" t="inlineStr">
        <is>
          <t>numericEdit</t>
        </is>
      </c>
      <c r="D520" s="2" t="inlineStr"/>
      <c r="E520" s="2" t="inlineStr"/>
      <c r="F520" s="2" t="inlineStr"/>
      <c r="G520" s="2" t="inlineStr"/>
      <c r="H520" s="2" t="inlineStr"/>
      <c r="I520" s="2" t="inlineStr">
        <is>
          <t>Editable</t>
        </is>
      </c>
      <c r="J520" s="2" t="inlineStr"/>
      <c r="K520" s="2" t="inlineStr"/>
      <c r="L520" s="2" t="inlineStr"/>
      <c r="M520" s="2" t="inlineStr"/>
    </row>
    <row r="521">
      <c r="A521" s="2" t="inlineStr">
        <is>
          <t>Page14.CB1011</t>
        </is>
      </c>
      <c r="B521" s="2" t="inlineStr">
        <is>
          <t>Page14</t>
        </is>
      </c>
      <c r="C521" s="2" t="inlineStr">
        <is>
          <t>numericEdit</t>
        </is>
      </c>
      <c r="D521" s="2" t="inlineStr"/>
      <c r="E521" s="2" t="inlineStr"/>
      <c r="F521" s="2" t="inlineStr"/>
      <c r="G521" s="2" t="inlineStr"/>
      <c r="H521" s="2" t="inlineStr"/>
      <c r="I521" s="2" t="inlineStr">
        <is>
          <t>Editable</t>
        </is>
      </c>
      <c r="J521" s="2" t="inlineStr"/>
      <c r="K521" s="2" t="inlineStr"/>
      <c r="L521" s="2" t="inlineStr"/>
      <c r="M521" s="2" t="inlineStr"/>
    </row>
    <row r="522">
      <c r="A522" s="2" t="inlineStr">
        <is>
          <t>Page14.CB1012</t>
        </is>
      </c>
      <c r="B522" s="2" t="inlineStr">
        <is>
          <t>Page14</t>
        </is>
      </c>
      <c r="C522" s="2" t="inlineStr">
        <is>
          <t>numericEdit</t>
        </is>
      </c>
      <c r="D522" s="2" t="inlineStr"/>
      <c r="E522" s="2" t="inlineStr"/>
      <c r="F522" s="2" t="inlineStr"/>
      <c r="G522" s="2" t="inlineStr"/>
      <c r="H522" s="2" t="inlineStr"/>
      <c r="I522" s="2" t="inlineStr">
        <is>
          <t>Editable</t>
        </is>
      </c>
      <c r="J522" s="2" t="inlineStr"/>
      <c r="K522" s="2" t="inlineStr"/>
      <c r="L522" s="2" t="inlineStr"/>
      <c r="M522" s="2" t="inlineStr"/>
    </row>
    <row r="523">
      <c r="A523" s="2" t="inlineStr">
        <is>
          <t>Page14.CB1013</t>
        </is>
      </c>
      <c r="B523" s="2" t="inlineStr">
        <is>
          <t>Page14</t>
        </is>
      </c>
      <c r="C523" s="2" t="inlineStr">
        <is>
          <t>numericEdit</t>
        </is>
      </c>
      <c r="D523" s="2" t="inlineStr"/>
      <c r="E523" s="2" t="inlineStr"/>
      <c r="F523" s="2" t="inlineStr"/>
      <c r="G523" s="2" t="inlineStr"/>
      <c r="H523" s="2" t="inlineStr"/>
      <c r="I523" s="2" t="inlineStr">
        <is>
          <t>Editable</t>
        </is>
      </c>
      <c r="J523" s="2" t="inlineStr"/>
      <c r="K523" s="2" t="inlineStr"/>
      <c r="L523" s="2" t="inlineStr"/>
      <c r="M523" s="2" t="inlineStr"/>
    </row>
    <row r="524">
      <c r="A524" s="2" t="inlineStr">
        <is>
          <t>Page14.C10141</t>
        </is>
      </c>
      <c r="B524" s="2" t="inlineStr">
        <is>
          <t>Page14</t>
        </is>
      </c>
      <c r="C524" s="2" t="inlineStr">
        <is>
          <t>numericEdit</t>
        </is>
      </c>
      <c r="D524" s="2" t="inlineStr"/>
      <c r="E524" s="2" t="inlineStr"/>
      <c r="F524" s="2" t="inlineStr"/>
      <c r="G524" s="2" t="inlineStr"/>
      <c r="H524" s="2" t="inlineStr"/>
      <c r="I524" s="2" t="inlineStr">
        <is>
          <t>Editable</t>
        </is>
      </c>
      <c r="J524" s="2" t="inlineStr"/>
      <c r="K524" s="2" t="inlineStr"/>
      <c r="L524" s="2" t="inlineStr"/>
      <c r="M524" s="2" t="inlineStr"/>
    </row>
    <row r="525">
      <c r="A525" s="2" t="inlineStr">
        <is>
          <t>Page14.C11142</t>
        </is>
      </c>
      <c r="B525" s="2" t="inlineStr">
        <is>
          <t>Page14</t>
        </is>
      </c>
      <c r="C525" s="2" t="inlineStr">
        <is>
          <t>numericEdit</t>
        </is>
      </c>
      <c r="D525" s="2" t="inlineStr"/>
      <c r="E525" s="2" t="inlineStr"/>
      <c r="F525" s="2" t="inlineStr"/>
      <c r="G525" s="2" t="inlineStr"/>
      <c r="H525" s="2" t="inlineStr"/>
      <c r="I525" s="2" t="inlineStr">
        <is>
          <t>Editable</t>
        </is>
      </c>
      <c r="J525" s="2" t="inlineStr"/>
      <c r="K525" s="2" t="inlineStr"/>
      <c r="L525" s="2" t="inlineStr"/>
      <c r="M525" s="2" t="inlineStr"/>
    </row>
    <row r="526">
      <c r="A526" s="2" t="inlineStr">
        <is>
          <t>Page14.CB118</t>
        </is>
      </c>
      <c r="B526" s="2" t="inlineStr">
        <is>
          <t>Page14</t>
        </is>
      </c>
      <c r="C526" s="2" t="inlineStr">
        <is>
          <t>numericEdit</t>
        </is>
      </c>
      <c r="D526" s="2" t="inlineStr"/>
      <c r="E526" s="2" t="inlineStr"/>
      <c r="F526" s="2" t="inlineStr"/>
      <c r="G526" s="2" t="inlineStr"/>
      <c r="H526" s="2" t="inlineStr"/>
      <c r="I526" s="2" t="inlineStr">
        <is>
          <t>Editable</t>
        </is>
      </c>
      <c r="J526" s="2" t="inlineStr"/>
      <c r="K526" s="2" t="inlineStr"/>
      <c r="L526" s="2" t="inlineStr"/>
      <c r="M526" s="2" t="inlineStr"/>
    </row>
    <row r="527">
      <c r="A527" s="2" t="inlineStr">
        <is>
          <t>Page14.CB119</t>
        </is>
      </c>
      <c r="B527" s="2" t="inlineStr">
        <is>
          <t>Page14</t>
        </is>
      </c>
      <c r="C527" s="2" t="inlineStr">
        <is>
          <t>numericEdit</t>
        </is>
      </c>
      <c r="D527" s="2" t="inlineStr"/>
      <c r="E527" s="2" t="inlineStr"/>
      <c r="F527" s="2" t="inlineStr"/>
      <c r="G527" s="2" t="inlineStr"/>
      <c r="H527" s="2" t="inlineStr"/>
      <c r="I527" s="2" t="inlineStr">
        <is>
          <t>Editable</t>
        </is>
      </c>
      <c r="J527" s="2" t="inlineStr"/>
      <c r="K527" s="2" t="inlineStr"/>
      <c r="L527" s="2" t="inlineStr"/>
      <c r="M527" s="2" t="inlineStr"/>
    </row>
    <row r="528">
      <c r="A528" s="2" t="inlineStr">
        <is>
          <t>Page14.CB1110</t>
        </is>
      </c>
      <c r="B528" s="2" t="inlineStr">
        <is>
          <t>Page14</t>
        </is>
      </c>
      <c r="C528" s="2" t="inlineStr">
        <is>
          <t>numericEdit</t>
        </is>
      </c>
      <c r="D528" s="2" t="inlineStr"/>
      <c r="E528" s="2" t="inlineStr"/>
      <c r="F528" s="2" t="inlineStr"/>
      <c r="G528" s="2" t="inlineStr"/>
      <c r="H528" s="2" t="inlineStr"/>
      <c r="I528" s="2" t="inlineStr">
        <is>
          <t>Editable</t>
        </is>
      </c>
      <c r="J528" s="2" t="inlineStr"/>
      <c r="K528" s="2" t="inlineStr"/>
      <c r="L528" s="2" t="inlineStr"/>
      <c r="M528" s="2" t="inlineStr"/>
    </row>
    <row r="529">
      <c r="A529" s="2" t="inlineStr">
        <is>
          <t>Page14.CB1111</t>
        </is>
      </c>
      <c r="B529" s="2" t="inlineStr">
        <is>
          <t>Page14</t>
        </is>
      </c>
      <c r="C529" s="2" t="inlineStr">
        <is>
          <t>numericEdit</t>
        </is>
      </c>
      <c r="D529" s="2" t="inlineStr"/>
      <c r="E529" s="2" t="inlineStr"/>
      <c r="F529" s="2" t="inlineStr"/>
      <c r="G529" s="2" t="inlineStr"/>
      <c r="H529" s="2" t="inlineStr"/>
      <c r="I529" s="2" t="inlineStr">
        <is>
          <t>Editable</t>
        </is>
      </c>
      <c r="J529" s="2" t="inlineStr"/>
      <c r="K529" s="2" t="inlineStr"/>
      <c r="L529" s="2" t="inlineStr"/>
      <c r="M529" s="2" t="inlineStr"/>
    </row>
    <row r="530">
      <c r="A530" s="2" t="inlineStr">
        <is>
          <t>Page14.CB1112</t>
        </is>
      </c>
      <c r="B530" s="2" t="inlineStr">
        <is>
          <t>Page14</t>
        </is>
      </c>
      <c r="C530" s="2" t="inlineStr">
        <is>
          <t>numericEdit</t>
        </is>
      </c>
      <c r="D530" s="2" t="inlineStr"/>
      <c r="E530" s="2" t="inlineStr"/>
      <c r="F530" s="2" t="inlineStr"/>
      <c r="G530" s="2" t="inlineStr"/>
      <c r="H530" s="2" t="inlineStr"/>
      <c r="I530" s="2" t="inlineStr">
        <is>
          <t>Editable</t>
        </is>
      </c>
      <c r="J530" s="2" t="inlineStr"/>
      <c r="K530" s="2" t="inlineStr"/>
      <c r="L530" s="2" t="inlineStr"/>
      <c r="M530" s="2" t="inlineStr"/>
    </row>
    <row r="531">
      <c r="A531" s="2" t="inlineStr">
        <is>
          <t>Page14.CB1113</t>
        </is>
      </c>
      <c r="B531" s="2" t="inlineStr">
        <is>
          <t>Page14</t>
        </is>
      </c>
      <c r="C531" s="2" t="inlineStr">
        <is>
          <t>numericEdit</t>
        </is>
      </c>
      <c r="D531" s="2" t="inlineStr"/>
      <c r="E531" s="2" t="inlineStr"/>
      <c r="F531" s="2" t="inlineStr"/>
      <c r="G531" s="2" t="inlineStr"/>
      <c r="H531" s="2" t="inlineStr"/>
      <c r="I531" s="2" t="inlineStr">
        <is>
          <t>Editable</t>
        </is>
      </c>
      <c r="J531" s="2" t="inlineStr"/>
      <c r="K531" s="2" t="inlineStr"/>
      <c r="L531" s="2" t="inlineStr"/>
      <c r="M531" s="2" t="inlineStr"/>
    </row>
    <row r="532">
      <c r="A532" s="2" t="inlineStr">
        <is>
          <t>Page14.C11141</t>
        </is>
      </c>
      <c r="B532" s="2" t="inlineStr">
        <is>
          <t>Page14</t>
        </is>
      </c>
      <c r="C532" s="2" t="inlineStr">
        <is>
          <t>numericEdit</t>
        </is>
      </c>
      <c r="D532" s="2" t="inlineStr"/>
      <c r="E532" s="2" t="inlineStr"/>
      <c r="F532" s="2" t="inlineStr"/>
      <c r="G532" s="2" t="inlineStr"/>
      <c r="H532" s="2" t="inlineStr"/>
      <c r="I532" s="2" t="inlineStr">
        <is>
          <t>Editable</t>
        </is>
      </c>
      <c r="J532" s="2" t="inlineStr"/>
      <c r="K532" s="2" t="inlineStr"/>
      <c r="L532" s="2" t="inlineStr"/>
      <c r="M532" s="2" t="inlineStr"/>
    </row>
    <row r="533">
      <c r="A533" s="2" t="inlineStr">
        <is>
          <t>Page14.C12142</t>
        </is>
      </c>
      <c r="B533" s="2" t="inlineStr">
        <is>
          <t>Page14</t>
        </is>
      </c>
      <c r="C533" s="2" t="inlineStr">
        <is>
          <t>numericEdit</t>
        </is>
      </c>
      <c r="D533" s="2" t="inlineStr"/>
      <c r="E533" s="2" t="inlineStr"/>
      <c r="F533" s="2" t="inlineStr"/>
      <c r="G533" s="2" t="inlineStr"/>
      <c r="H533" s="2" t="inlineStr"/>
      <c r="I533" s="2" t="inlineStr">
        <is>
          <t>Editable</t>
        </is>
      </c>
      <c r="J533" s="2" t="inlineStr"/>
      <c r="K533" s="2" t="inlineStr"/>
      <c r="L533" s="2" t="inlineStr"/>
      <c r="M533" s="2" t="inlineStr"/>
    </row>
    <row r="534">
      <c r="A534" s="2" t="inlineStr">
        <is>
          <t>Page14.CB128</t>
        </is>
      </c>
      <c r="B534" s="2" t="inlineStr">
        <is>
          <t>Page14</t>
        </is>
      </c>
      <c r="C534" s="2" t="inlineStr">
        <is>
          <t>numericEdit</t>
        </is>
      </c>
      <c r="D534" s="2" t="inlineStr"/>
      <c r="E534" s="2" t="inlineStr"/>
      <c r="F534" s="2" t="inlineStr"/>
      <c r="G534" s="2" t="inlineStr"/>
      <c r="H534" s="2" t="inlineStr"/>
      <c r="I534" s="2" t="inlineStr">
        <is>
          <t>Editable</t>
        </is>
      </c>
      <c r="J534" s="2" t="inlineStr"/>
      <c r="K534" s="2" t="inlineStr"/>
      <c r="L534" s="2" t="inlineStr"/>
      <c r="M534" s="2" t="inlineStr"/>
    </row>
    <row r="535">
      <c r="A535" s="2" t="inlineStr">
        <is>
          <t>Page14.CB129</t>
        </is>
      </c>
      <c r="B535" s="2" t="inlineStr">
        <is>
          <t>Page14</t>
        </is>
      </c>
      <c r="C535" s="2" t="inlineStr">
        <is>
          <t>numericEdit</t>
        </is>
      </c>
      <c r="D535" s="2" t="inlineStr"/>
      <c r="E535" s="2" t="inlineStr"/>
      <c r="F535" s="2" t="inlineStr"/>
      <c r="G535" s="2" t="inlineStr"/>
      <c r="H535" s="2" t="inlineStr"/>
      <c r="I535" s="2" t="inlineStr">
        <is>
          <t>Editable</t>
        </is>
      </c>
      <c r="J535" s="2" t="inlineStr"/>
      <c r="K535" s="2" t="inlineStr"/>
      <c r="L535" s="2" t="inlineStr"/>
      <c r="M535" s="2" t="inlineStr"/>
    </row>
    <row r="536">
      <c r="A536" s="2" t="inlineStr">
        <is>
          <t>Page14.CB1210</t>
        </is>
      </c>
      <c r="B536" s="2" t="inlineStr">
        <is>
          <t>Page14</t>
        </is>
      </c>
      <c r="C536" s="2" t="inlineStr">
        <is>
          <t>numericEdit</t>
        </is>
      </c>
      <c r="D536" s="2" t="inlineStr"/>
      <c r="E536" s="2" t="inlineStr"/>
      <c r="F536" s="2" t="inlineStr"/>
      <c r="G536" s="2" t="inlineStr"/>
      <c r="H536" s="2" t="inlineStr"/>
      <c r="I536" s="2" t="inlineStr">
        <is>
          <t>Editable</t>
        </is>
      </c>
      <c r="J536" s="2" t="inlineStr"/>
      <c r="K536" s="2" t="inlineStr"/>
      <c r="L536" s="2" t="inlineStr"/>
      <c r="M536" s="2" t="inlineStr"/>
    </row>
    <row r="537">
      <c r="A537" s="2" t="inlineStr">
        <is>
          <t>Page14.CB1211</t>
        </is>
      </c>
      <c r="B537" s="2" t="inlineStr">
        <is>
          <t>Page14</t>
        </is>
      </c>
      <c r="C537" s="2" t="inlineStr">
        <is>
          <t>numericEdit</t>
        </is>
      </c>
      <c r="D537" s="2" t="inlineStr"/>
      <c r="E537" s="2" t="inlineStr"/>
      <c r="F537" s="2" t="inlineStr"/>
      <c r="G537" s="2" t="inlineStr"/>
      <c r="H537" s="2" t="inlineStr"/>
      <c r="I537" s="2" t="inlineStr">
        <is>
          <t>Editable</t>
        </is>
      </c>
      <c r="J537" s="2" t="inlineStr"/>
      <c r="K537" s="2" t="inlineStr"/>
      <c r="L537" s="2" t="inlineStr"/>
      <c r="M537" s="2" t="inlineStr"/>
    </row>
    <row r="538">
      <c r="A538" s="2" t="inlineStr">
        <is>
          <t>Page14.CB1212</t>
        </is>
      </c>
      <c r="B538" s="2" t="inlineStr">
        <is>
          <t>Page14</t>
        </is>
      </c>
      <c r="C538" s="2" t="inlineStr">
        <is>
          <t>numericEdit</t>
        </is>
      </c>
      <c r="D538" s="2" t="inlineStr"/>
      <c r="E538" s="2" t="inlineStr"/>
      <c r="F538" s="2" t="inlineStr"/>
      <c r="G538" s="2" t="inlineStr"/>
      <c r="H538" s="2" t="inlineStr"/>
      <c r="I538" s="2" t="inlineStr">
        <is>
          <t>Editable</t>
        </is>
      </c>
      <c r="J538" s="2" t="inlineStr"/>
      <c r="K538" s="2" t="inlineStr"/>
      <c r="L538" s="2" t="inlineStr"/>
      <c r="M538" s="2" t="inlineStr"/>
    </row>
    <row r="539">
      <c r="A539" s="2" t="inlineStr">
        <is>
          <t>Page14.CB1213</t>
        </is>
      </c>
      <c r="B539" s="2" t="inlineStr">
        <is>
          <t>Page14</t>
        </is>
      </c>
      <c r="C539" s="2" t="inlineStr">
        <is>
          <t>numericEdit</t>
        </is>
      </c>
      <c r="D539" s="2" t="inlineStr"/>
      <c r="E539" s="2" t="inlineStr"/>
      <c r="F539" s="2" t="inlineStr"/>
      <c r="G539" s="2" t="inlineStr"/>
      <c r="H539" s="2" t="inlineStr"/>
      <c r="I539" s="2" t="inlineStr">
        <is>
          <t>Editable</t>
        </is>
      </c>
      <c r="J539" s="2" t="inlineStr"/>
      <c r="K539" s="2" t="inlineStr"/>
      <c r="L539" s="2" t="inlineStr"/>
      <c r="M539" s="2" t="inlineStr"/>
    </row>
    <row r="540">
      <c r="A540" s="2" t="inlineStr">
        <is>
          <t>Page14.C12141</t>
        </is>
      </c>
      <c r="B540" s="2" t="inlineStr">
        <is>
          <t>Page14</t>
        </is>
      </c>
      <c r="C540" s="2" t="inlineStr">
        <is>
          <t>numericEdit</t>
        </is>
      </c>
      <c r="D540" s="2" t="inlineStr"/>
      <c r="E540" s="2" t="inlineStr"/>
      <c r="F540" s="2" t="inlineStr"/>
      <c r="G540" s="2" t="inlineStr"/>
      <c r="H540" s="2" t="inlineStr"/>
      <c r="I540" s="2" t="inlineStr">
        <is>
          <t>Editable</t>
        </is>
      </c>
      <c r="J540" s="2" t="inlineStr"/>
      <c r="K540" s="2" t="inlineStr"/>
      <c r="L540" s="2" t="inlineStr"/>
      <c r="M540" s="2" t="inlineStr"/>
    </row>
    <row r="541">
      <c r="A541" s="2" t="inlineStr">
        <is>
          <t>Page14.C13142</t>
        </is>
      </c>
      <c r="B541" s="2" t="inlineStr">
        <is>
          <t>Page14</t>
        </is>
      </c>
      <c r="C541" s="2" t="inlineStr">
        <is>
          <t>numericEdit</t>
        </is>
      </c>
      <c r="D541" s="2" t="inlineStr"/>
      <c r="E541" s="2" t="inlineStr"/>
      <c r="F541" s="2" t="inlineStr"/>
      <c r="G541" s="2" t="inlineStr"/>
      <c r="H541" s="2" t="inlineStr"/>
      <c r="I541" s="2" t="inlineStr">
        <is>
          <t>Editable</t>
        </is>
      </c>
      <c r="J541" s="2" t="inlineStr"/>
      <c r="K541" s="2" t="inlineStr"/>
      <c r="L541" s="2" t="inlineStr"/>
      <c r="M541" s="2" t="inlineStr"/>
    </row>
    <row r="542">
      <c r="A542" s="2" t="inlineStr">
        <is>
          <t>Page14.CB138</t>
        </is>
      </c>
      <c r="B542" s="2" t="inlineStr">
        <is>
          <t>Page14</t>
        </is>
      </c>
      <c r="C542" s="2" t="inlineStr">
        <is>
          <t>numericEdit</t>
        </is>
      </c>
      <c r="D542" s="2" t="inlineStr"/>
      <c r="E542" s="2" t="inlineStr"/>
      <c r="F542" s="2" t="inlineStr"/>
      <c r="G542" s="2" t="inlineStr"/>
      <c r="H542" s="2" t="inlineStr"/>
      <c r="I542" s="2" t="inlineStr">
        <is>
          <t>Editable</t>
        </is>
      </c>
      <c r="J542" s="2" t="inlineStr"/>
      <c r="K542" s="2" t="inlineStr"/>
      <c r="L542" s="2" t="inlineStr"/>
      <c r="M542" s="2" t="inlineStr"/>
    </row>
    <row r="543">
      <c r="A543" s="2" t="inlineStr">
        <is>
          <t>Page14.CB139</t>
        </is>
      </c>
      <c r="B543" s="2" t="inlineStr">
        <is>
          <t>Page14</t>
        </is>
      </c>
      <c r="C543" s="2" t="inlineStr">
        <is>
          <t>numericEdit</t>
        </is>
      </c>
      <c r="D543" s="2" t="inlineStr"/>
      <c r="E543" s="2" t="inlineStr"/>
      <c r="F543" s="2" t="inlineStr"/>
      <c r="G543" s="2" t="inlineStr"/>
      <c r="H543" s="2" t="inlineStr"/>
      <c r="I543" s="2" t="inlineStr">
        <is>
          <t>Editable</t>
        </is>
      </c>
      <c r="J543" s="2" t="inlineStr"/>
      <c r="K543" s="2" t="inlineStr"/>
      <c r="L543" s="2" t="inlineStr"/>
      <c r="M543" s="2" t="inlineStr"/>
    </row>
    <row r="544">
      <c r="A544" s="2" t="inlineStr">
        <is>
          <t>Page14.CB1310</t>
        </is>
      </c>
      <c r="B544" s="2" t="inlineStr">
        <is>
          <t>Page14</t>
        </is>
      </c>
      <c r="C544" s="2" t="inlineStr">
        <is>
          <t>numericEdit</t>
        </is>
      </c>
      <c r="D544" s="2" t="inlineStr"/>
      <c r="E544" s="2" t="inlineStr"/>
      <c r="F544" s="2" t="inlineStr"/>
      <c r="G544" s="2" t="inlineStr"/>
      <c r="H544" s="2" t="inlineStr"/>
      <c r="I544" s="2" t="inlineStr">
        <is>
          <t>Editable</t>
        </is>
      </c>
      <c r="J544" s="2" t="inlineStr"/>
      <c r="K544" s="2" t="inlineStr"/>
      <c r="L544" s="2" t="inlineStr"/>
      <c r="M544" s="2" t="inlineStr"/>
    </row>
    <row r="545">
      <c r="A545" s="2" t="inlineStr">
        <is>
          <t>Page14.CB1311</t>
        </is>
      </c>
      <c r="B545" s="2" t="inlineStr">
        <is>
          <t>Page14</t>
        </is>
      </c>
      <c r="C545" s="2" t="inlineStr">
        <is>
          <t>numericEdit</t>
        </is>
      </c>
      <c r="D545" s="2" t="inlineStr"/>
      <c r="E545" s="2" t="inlineStr"/>
      <c r="F545" s="2" t="inlineStr"/>
      <c r="G545" s="2" t="inlineStr"/>
      <c r="H545" s="2" t="inlineStr"/>
      <c r="I545" s="2" t="inlineStr">
        <is>
          <t>Editable</t>
        </is>
      </c>
      <c r="J545" s="2" t="inlineStr"/>
      <c r="K545" s="2" t="inlineStr"/>
      <c r="L545" s="2" t="inlineStr"/>
      <c r="M545" s="2" t="inlineStr"/>
    </row>
    <row r="546">
      <c r="A546" s="2" t="inlineStr">
        <is>
          <t>Page14.CB1312</t>
        </is>
      </c>
      <c r="B546" s="2" t="inlineStr">
        <is>
          <t>Page14</t>
        </is>
      </c>
      <c r="C546" s="2" t="inlineStr">
        <is>
          <t>numericEdit</t>
        </is>
      </c>
      <c r="D546" s="2" t="inlineStr"/>
      <c r="E546" s="2" t="inlineStr"/>
      <c r="F546" s="2" t="inlineStr"/>
      <c r="G546" s="2" t="inlineStr"/>
      <c r="H546" s="2" t="inlineStr"/>
      <c r="I546" s="2" t="inlineStr">
        <is>
          <t>Editable</t>
        </is>
      </c>
      <c r="J546" s="2" t="inlineStr"/>
      <c r="K546" s="2" t="inlineStr"/>
      <c r="L546" s="2" t="inlineStr"/>
      <c r="M546" s="2" t="inlineStr"/>
    </row>
    <row r="547">
      <c r="A547" s="2" t="inlineStr">
        <is>
          <t>Page14.CB1313</t>
        </is>
      </c>
      <c r="B547" s="2" t="inlineStr">
        <is>
          <t>Page14</t>
        </is>
      </c>
      <c r="C547" s="2" t="inlineStr">
        <is>
          <t>numericEdit</t>
        </is>
      </c>
      <c r="D547" s="2" t="inlineStr"/>
      <c r="E547" s="2" t="inlineStr"/>
      <c r="F547" s="2" t="inlineStr"/>
      <c r="G547" s="2" t="inlineStr"/>
      <c r="H547" s="2" t="inlineStr"/>
      <c r="I547" s="2" t="inlineStr">
        <is>
          <t>Editable</t>
        </is>
      </c>
      <c r="J547" s="2" t="inlineStr"/>
      <c r="K547" s="2" t="inlineStr"/>
      <c r="L547" s="2" t="inlineStr"/>
      <c r="M547" s="2" t="inlineStr"/>
    </row>
    <row r="548">
      <c r="A548" s="2" t="inlineStr">
        <is>
          <t>Page14.C13141</t>
        </is>
      </c>
      <c r="B548" s="2" t="inlineStr">
        <is>
          <t>Page14</t>
        </is>
      </c>
      <c r="C548" s="2" t="inlineStr">
        <is>
          <t>numericEdit</t>
        </is>
      </c>
      <c r="D548" s="2" t="inlineStr"/>
      <c r="E548" s="2" t="inlineStr"/>
      <c r="F548" s="2" t="inlineStr"/>
      <c r="G548" s="2" t="inlineStr"/>
      <c r="H548" s="2" t="inlineStr"/>
      <c r="I548" s="2" t="inlineStr">
        <is>
          <t>Editable</t>
        </is>
      </c>
      <c r="J548" s="2" t="inlineStr"/>
      <c r="K548" s="2" t="inlineStr"/>
      <c r="L548" s="2" t="inlineStr"/>
      <c r="M548" s="2" t="inlineStr"/>
    </row>
    <row r="549">
      <c r="A549" s="2" t="inlineStr">
        <is>
          <t>Page14.C141Total</t>
        </is>
      </c>
      <c r="B549" s="2" t="inlineStr">
        <is>
          <t>Page14</t>
        </is>
      </c>
      <c r="C549" s="2" t="inlineStr">
        <is>
          <t>numericEdit</t>
        </is>
      </c>
      <c r="D549" s="2" t="inlineStr"/>
      <c r="E549" s="2" t="inlineStr"/>
      <c r="F549" s="2" t="inlineStr"/>
      <c r="G549" s="2" t="inlineStr"/>
      <c r="H549" s="2" t="inlineStr"/>
      <c r="I549" s="2" t="inlineStr">
        <is>
          <t>Read-only</t>
        </is>
      </c>
      <c r="J549" s="2" t="inlineStr">
        <is>
          <t>Yes</t>
        </is>
      </c>
      <c r="K549" s="2" t="inlineStr"/>
      <c r="L549" s="2" t="inlineStr"/>
      <c r="M549" s="2" t="inlineStr"/>
    </row>
    <row r="550">
      <c r="A550" s="2" t="inlineStr">
        <is>
          <t>Page14.C142Total</t>
        </is>
      </c>
      <c r="B550" s="2" t="inlineStr">
        <is>
          <t>Page14</t>
        </is>
      </c>
      <c r="C550" s="2" t="inlineStr">
        <is>
          <t>numericEdit</t>
        </is>
      </c>
      <c r="D550" s="2" t="inlineStr"/>
      <c r="E550" s="2" t="inlineStr"/>
      <c r="F550" s="2" t="inlineStr"/>
      <c r="G550" s="2" t="inlineStr"/>
      <c r="H550" s="2" t="inlineStr"/>
      <c r="I550" s="2" t="inlineStr">
        <is>
          <t>Read-only</t>
        </is>
      </c>
      <c r="J550" s="2" t="inlineStr">
        <is>
          <t>Yes</t>
        </is>
      </c>
      <c r="K550" s="2" t="inlineStr"/>
      <c r="L550" s="2" t="inlineStr"/>
      <c r="M550" s="2" t="inlineStr"/>
    </row>
    <row r="551">
      <c r="A551" s="2" t="inlineStr">
        <is>
          <t>Page14.C14142</t>
        </is>
      </c>
      <c r="B551" s="2" t="inlineStr">
        <is>
          <t>Page14</t>
        </is>
      </c>
      <c r="C551" s="2" t="inlineStr">
        <is>
          <t>numericEdit</t>
        </is>
      </c>
      <c r="D551" s="2" t="inlineStr"/>
      <c r="E551" s="2" t="inlineStr"/>
      <c r="F551" s="2" t="inlineStr"/>
      <c r="G551" s="2" t="inlineStr"/>
      <c r="H551" s="2" t="inlineStr"/>
      <c r="I551" s="2" t="inlineStr">
        <is>
          <t>Editable</t>
        </is>
      </c>
      <c r="J551" s="2" t="inlineStr"/>
      <c r="K551" s="2" t="inlineStr"/>
      <c r="L551" s="2" t="inlineStr"/>
      <c r="M551" s="2" t="inlineStr"/>
    </row>
    <row r="552">
      <c r="A552" s="2" t="inlineStr">
        <is>
          <t>Page14.CB148</t>
        </is>
      </c>
      <c r="B552" s="2" t="inlineStr">
        <is>
          <t>Page14</t>
        </is>
      </c>
      <c r="C552" s="2" t="inlineStr">
        <is>
          <t>numericEdit</t>
        </is>
      </c>
      <c r="D552" s="2" t="inlineStr"/>
      <c r="E552" s="2" t="inlineStr"/>
      <c r="F552" s="2" t="inlineStr"/>
      <c r="G552" s="2" t="inlineStr"/>
      <c r="H552" s="2" t="inlineStr"/>
      <c r="I552" s="2" t="inlineStr">
        <is>
          <t>Editable</t>
        </is>
      </c>
      <c r="J552" s="2" t="inlineStr"/>
      <c r="K552" s="2" t="inlineStr"/>
      <c r="L552" s="2" t="inlineStr"/>
      <c r="M552" s="2" t="inlineStr"/>
    </row>
    <row r="553">
      <c r="A553" s="2" t="inlineStr">
        <is>
          <t>Page14.CB149</t>
        </is>
      </c>
      <c r="B553" s="2" t="inlineStr">
        <is>
          <t>Page14</t>
        </is>
      </c>
      <c r="C553" s="2" t="inlineStr">
        <is>
          <t>numericEdit</t>
        </is>
      </c>
      <c r="D553" s="2" t="inlineStr"/>
      <c r="E553" s="2" t="inlineStr"/>
      <c r="F553" s="2" t="inlineStr"/>
      <c r="G553" s="2" t="inlineStr"/>
      <c r="H553" s="2" t="inlineStr"/>
      <c r="I553" s="2" t="inlineStr">
        <is>
          <t>Editable</t>
        </is>
      </c>
      <c r="J553" s="2" t="inlineStr"/>
      <c r="K553" s="2" t="inlineStr"/>
      <c r="L553" s="2" t="inlineStr"/>
      <c r="M553" s="2" t="inlineStr"/>
    </row>
    <row r="554">
      <c r="A554" s="2" t="inlineStr">
        <is>
          <t>Page14.CB1410</t>
        </is>
      </c>
      <c r="B554" s="2" t="inlineStr">
        <is>
          <t>Page14</t>
        </is>
      </c>
      <c r="C554" s="2" t="inlineStr">
        <is>
          <t>numericEdit</t>
        </is>
      </c>
      <c r="D554" s="2" t="inlineStr"/>
      <c r="E554" s="2" t="inlineStr"/>
      <c r="F554" s="2" t="inlineStr"/>
      <c r="G554" s="2" t="inlineStr"/>
      <c r="H554" s="2" t="inlineStr"/>
      <c r="I554" s="2" t="inlineStr">
        <is>
          <t>Editable</t>
        </is>
      </c>
      <c r="J554" s="2" t="inlineStr"/>
      <c r="K554" s="2" t="inlineStr"/>
      <c r="L554" s="2" t="inlineStr"/>
      <c r="M554" s="2" t="inlineStr"/>
    </row>
    <row r="555">
      <c r="A555" s="2" t="inlineStr">
        <is>
          <t>Page14.CB1411</t>
        </is>
      </c>
      <c r="B555" s="2" t="inlineStr">
        <is>
          <t>Page14</t>
        </is>
      </c>
      <c r="C555" s="2" t="inlineStr">
        <is>
          <t>numericEdit</t>
        </is>
      </c>
      <c r="D555" s="2" t="inlineStr"/>
      <c r="E555" s="2" t="inlineStr"/>
      <c r="F555" s="2" t="inlineStr"/>
      <c r="G555" s="2" t="inlineStr"/>
      <c r="H555" s="2" t="inlineStr"/>
      <c r="I555" s="2" t="inlineStr">
        <is>
          <t>Editable</t>
        </is>
      </c>
      <c r="J555" s="2" t="inlineStr"/>
      <c r="K555" s="2" t="inlineStr"/>
      <c r="L555" s="2" t="inlineStr"/>
      <c r="M555" s="2" t="inlineStr"/>
    </row>
    <row r="556">
      <c r="A556" s="2" t="inlineStr">
        <is>
          <t>Page14.CB1412</t>
        </is>
      </c>
      <c r="B556" s="2" t="inlineStr">
        <is>
          <t>Page14</t>
        </is>
      </c>
      <c r="C556" s="2" t="inlineStr">
        <is>
          <t>numericEdit</t>
        </is>
      </c>
      <c r="D556" s="2" t="inlineStr"/>
      <c r="E556" s="2" t="inlineStr"/>
      <c r="F556" s="2" t="inlineStr"/>
      <c r="G556" s="2" t="inlineStr"/>
      <c r="H556" s="2" t="inlineStr"/>
      <c r="I556" s="2" t="inlineStr">
        <is>
          <t>Editable</t>
        </is>
      </c>
      <c r="J556" s="2" t="inlineStr"/>
      <c r="K556" s="2" t="inlineStr"/>
      <c r="L556" s="2" t="inlineStr"/>
      <c r="M556" s="2" t="inlineStr"/>
    </row>
    <row r="557">
      <c r="A557" s="2" t="inlineStr">
        <is>
          <t>Page14.CB1413</t>
        </is>
      </c>
      <c r="B557" s="2" t="inlineStr">
        <is>
          <t>Page14</t>
        </is>
      </c>
      <c r="C557" s="2" t="inlineStr">
        <is>
          <t>numericEdit</t>
        </is>
      </c>
      <c r="D557" s="2" t="inlineStr"/>
      <c r="E557" s="2" t="inlineStr"/>
      <c r="F557" s="2" t="inlineStr"/>
      <c r="G557" s="2" t="inlineStr"/>
      <c r="H557" s="2" t="inlineStr"/>
      <c r="I557" s="2" t="inlineStr">
        <is>
          <t>Editable</t>
        </is>
      </c>
      <c r="J557" s="2" t="inlineStr"/>
      <c r="K557" s="2" t="inlineStr"/>
      <c r="L557" s="2" t="inlineStr"/>
      <c r="M557" s="2" t="inlineStr"/>
    </row>
    <row r="558">
      <c r="A558" s="2" t="inlineStr">
        <is>
          <t>Page14.C14141</t>
        </is>
      </c>
      <c r="B558" s="2" t="inlineStr">
        <is>
          <t>Page14</t>
        </is>
      </c>
      <c r="C558" s="2" t="inlineStr">
        <is>
          <t>numericEdit</t>
        </is>
      </c>
      <c r="D558" s="2" t="inlineStr"/>
      <c r="E558" s="2" t="inlineStr"/>
      <c r="F558" s="2" t="inlineStr"/>
      <c r="G558" s="2" t="inlineStr"/>
      <c r="H558" s="2" t="inlineStr"/>
      <c r="I558" s="2" t="inlineStr">
        <is>
          <t>Editable</t>
        </is>
      </c>
      <c r="J558" s="2" t="inlineStr"/>
      <c r="K558" s="2" t="inlineStr"/>
      <c r="L558" s="2" t="inlineStr"/>
      <c r="M558" s="2" t="inlineStr"/>
    </row>
    <row r="559">
      <c r="A559" s="2" t="inlineStr">
        <is>
          <t>Page15.DateTimeField14</t>
        </is>
      </c>
      <c r="B559" s="2" t="inlineStr">
        <is>
          <t>Page15</t>
        </is>
      </c>
      <c r="C559" s="2" t="inlineStr">
        <is>
          <t>dateTimeEdit</t>
        </is>
      </c>
      <c r="D559" s="2" t="inlineStr">
        <is>
          <t>date</t>
        </is>
      </c>
      <c r="E559" s="2" t="inlineStr"/>
      <c r="F559" s="2" t="inlineStr"/>
      <c r="G559" s="2" t="inlineStr">
        <is>
          <t>date{DDMMYYYY}</t>
        </is>
      </c>
      <c r="H559" s="2" t="inlineStr">
        <is>
          <t>date{DD/MM/YYYY}</t>
        </is>
      </c>
      <c r="I559" s="2" t="inlineStr">
        <is>
          <t>Editable</t>
        </is>
      </c>
      <c r="J559" s="2" t="inlineStr"/>
      <c r="K559" s="2" t="inlineStr"/>
      <c r="L559" s="2" t="inlineStr">
        <is>
          <t>error</t>
        </is>
      </c>
      <c r="M559" s="2" t="inlineStr"/>
    </row>
    <row r="560">
      <c r="A560" s="2" t="inlineStr">
        <is>
          <t>Page15.DateTimeField1</t>
        </is>
      </c>
      <c r="B560" s="2" t="inlineStr">
        <is>
          <t>Page15</t>
        </is>
      </c>
      <c r="C560" s="2" t="inlineStr">
        <is>
          <t>dateTimeEdit</t>
        </is>
      </c>
      <c r="D560" s="2" t="inlineStr">
        <is>
          <t>date</t>
        </is>
      </c>
      <c r="E560" s="2" t="inlineStr"/>
      <c r="F560" s="2" t="inlineStr"/>
      <c r="G560" s="2" t="inlineStr">
        <is>
          <t>date{DDMMYYYY}</t>
        </is>
      </c>
      <c r="H560" s="2" t="inlineStr">
        <is>
          <t>date{DD/MM/YYYY}</t>
        </is>
      </c>
      <c r="I560" s="2" t="inlineStr">
        <is>
          <t>Editable</t>
        </is>
      </c>
      <c r="J560" s="2" t="inlineStr"/>
      <c r="K560" s="2" t="inlineStr"/>
      <c r="L560" s="2" t="inlineStr">
        <is>
          <t>error</t>
        </is>
      </c>
      <c r="M560" s="2" t="inlineStr"/>
    </row>
    <row r="561">
      <c r="A561" s="2" t="inlineStr">
        <is>
          <t>Page15.TextField2</t>
        </is>
      </c>
      <c r="B561" s="2" t="inlineStr">
        <is>
          <t>Page15</t>
        </is>
      </c>
      <c r="C561" s="2" t="inlineStr">
        <is>
          <t>textEdit</t>
        </is>
      </c>
      <c r="D561" s="2" t="inlineStr">
        <is>
          <t>text</t>
        </is>
      </c>
      <c r="E561" s="2" t="inlineStr"/>
      <c r="F561" s="2" t="inlineStr">
        <is>
          <t>30</t>
        </is>
      </c>
      <c r="G561" s="2" t="inlineStr"/>
      <c r="H561" s="2" t="inlineStr"/>
      <c r="I561" s="2" t="inlineStr">
        <is>
          <t>Editable</t>
        </is>
      </c>
      <c r="J561" s="2" t="inlineStr"/>
      <c r="K561" s="2" t="inlineStr"/>
      <c r="L561" s="2" t="inlineStr"/>
      <c r="M561" s="2" t="inlineStr"/>
    </row>
    <row r="562">
      <c r="A562" s="2" t="inlineStr">
        <is>
          <t>Page15.TextField3</t>
        </is>
      </c>
      <c r="B562" s="2" t="inlineStr">
        <is>
          <t>Page15</t>
        </is>
      </c>
      <c r="C562" s="2" t="inlineStr">
        <is>
          <t>textEdit</t>
        </is>
      </c>
      <c r="D562" s="2" t="inlineStr">
        <is>
          <t>text</t>
        </is>
      </c>
      <c r="E562" s="2" t="inlineStr"/>
      <c r="F562" s="2" t="inlineStr">
        <is>
          <t>50</t>
        </is>
      </c>
      <c r="G562" s="2" t="inlineStr"/>
      <c r="H562" s="2" t="inlineStr"/>
      <c r="I562" s="2" t="inlineStr">
        <is>
          <t>Editable</t>
        </is>
      </c>
      <c r="J562" s="2" t="inlineStr"/>
      <c r="K562" s="2" t="inlineStr"/>
      <c r="L562" s="2" t="inlineStr"/>
      <c r="M562" s="2" t="inlineStr"/>
    </row>
    <row r="563">
      <c r="A563" s="2" t="inlineStr">
        <is>
          <t>Page15.DO1</t>
        </is>
      </c>
      <c r="B563" s="2" t="inlineStr">
        <is>
          <t>Page15</t>
        </is>
      </c>
      <c r="C563" s="2" t="inlineStr">
        <is>
          <t>numericEdit</t>
        </is>
      </c>
      <c r="D563" s="2" t="inlineStr"/>
      <c r="E563" s="2" t="inlineStr"/>
      <c r="F563" s="2" t="inlineStr"/>
      <c r="G563" s="2" t="inlineStr"/>
      <c r="H563" s="2" t="inlineStr">
        <is>
          <t>num.integer{}</t>
        </is>
      </c>
      <c r="I563" s="2" t="inlineStr">
        <is>
          <t>Editable</t>
        </is>
      </c>
      <c r="J563" s="2" t="inlineStr"/>
      <c r="K563" s="2" t="inlineStr"/>
      <c r="L563" s="2" t="inlineStr"/>
      <c r="M563" s="2" t="inlineStr"/>
    </row>
    <row r="564">
      <c r="A564" s="2" t="inlineStr">
        <is>
          <t>Page15.DateTimeField2</t>
        </is>
      </c>
      <c r="B564" s="2" t="inlineStr">
        <is>
          <t>Page15</t>
        </is>
      </c>
      <c r="C564" s="2" t="inlineStr">
        <is>
          <t>dateTimeEdit</t>
        </is>
      </c>
      <c r="D564" s="2" t="inlineStr">
        <is>
          <t>date</t>
        </is>
      </c>
      <c r="E564" s="2" t="inlineStr"/>
      <c r="F564" s="2" t="inlineStr"/>
      <c r="G564" s="2" t="inlineStr">
        <is>
          <t>date{DDMMYYYY}</t>
        </is>
      </c>
      <c r="H564" s="2" t="inlineStr">
        <is>
          <t>date{DD/MM/YYYY}</t>
        </is>
      </c>
      <c r="I564" s="2" t="inlineStr">
        <is>
          <t>Editable</t>
        </is>
      </c>
      <c r="J564" s="2" t="inlineStr"/>
      <c r="K564" s="2" t="inlineStr"/>
      <c r="L564" s="2" t="inlineStr">
        <is>
          <t>error</t>
        </is>
      </c>
      <c r="M564" s="2" t="inlineStr"/>
    </row>
    <row r="565">
      <c r="A565" s="2" t="inlineStr">
        <is>
          <t>Page15.TextField2</t>
        </is>
      </c>
      <c r="B565" s="2" t="inlineStr">
        <is>
          <t>Page15</t>
        </is>
      </c>
      <c r="C565" s="2" t="inlineStr">
        <is>
          <t>textEdit</t>
        </is>
      </c>
      <c r="D565" s="2" t="inlineStr">
        <is>
          <t>text</t>
        </is>
      </c>
      <c r="E565" s="2" t="inlineStr"/>
      <c r="F565" s="2" t="inlineStr">
        <is>
          <t>30</t>
        </is>
      </c>
      <c r="G565" s="2" t="inlineStr"/>
      <c r="H565" s="2" t="inlineStr"/>
      <c r="I565" s="2" t="inlineStr">
        <is>
          <t>Editable</t>
        </is>
      </c>
      <c r="J565" s="2" t="inlineStr"/>
      <c r="K565" s="2" t="inlineStr"/>
      <c r="L565" s="2" t="inlineStr"/>
      <c r="M565" s="2" t="inlineStr"/>
    </row>
    <row r="566">
      <c r="A566" s="2" t="inlineStr">
        <is>
          <t>Page15.TextField3</t>
        </is>
      </c>
      <c r="B566" s="2" t="inlineStr">
        <is>
          <t>Page15</t>
        </is>
      </c>
      <c r="C566" s="2" t="inlineStr">
        <is>
          <t>textEdit</t>
        </is>
      </c>
      <c r="D566" s="2" t="inlineStr">
        <is>
          <t>text</t>
        </is>
      </c>
      <c r="E566" s="2" t="inlineStr"/>
      <c r="F566" s="2" t="inlineStr">
        <is>
          <t>50</t>
        </is>
      </c>
      <c r="G566" s="2" t="inlineStr"/>
      <c r="H566" s="2" t="inlineStr"/>
      <c r="I566" s="2" t="inlineStr">
        <is>
          <t>Editable</t>
        </is>
      </c>
      <c r="J566" s="2" t="inlineStr"/>
      <c r="K566" s="2" t="inlineStr"/>
      <c r="L566" s="2" t="inlineStr"/>
      <c r="M566" s="2" t="inlineStr"/>
    </row>
    <row r="567">
      <c r="A567" s="2" t="inlineStr">
        <is>
          <t>Page15.DO2</t>
        </is>
      </c>
      <c r="B567" s="2" t="inlineStr">
        <is>
          <t>Page15</t>
        </is>
      </c>
      <c r="C567" s="2" t="inlineStr">
        <is>
          <t>numericEdit</t>
        </is>
      </c>
      <c r="D567" s="2" t="inlineStr"/>
      <c r="E567" s="2" t="inlineStr"/>
      <c r="F567" s="2" t="inlineStr"/>
      <c r="G567" s="2" t="inlineStr"/>
      <c r="H567" s="2" t="inlineStr">
        <is>
          <t>num.integer{}</t>
        </is>
      </c>
      <c r="I567" s="2" t="inlineStr">
        <is>
          <t>Editable</t>
        </is>
      </c>
      <c r="J567" s="2" t="inlineStr"/>
      <c r="K567" s="2" t="inlineStr"/>
      <c r="L567" s="2" t="inlineStr"/>
      <c r="M567" s="2" t="inlineStr"/>
    </row>
    <row r="568">
      <c r="A568" s="2" t="inlineStr">
        <is>
          <t>Page15.DateTimeField3</t>
        </is>
      </c>
      <c r="B568" s="2" t="inlineStr">
        <is>
          <t>Page15</t>
        </is>
      </c>
      <c r="C568" s="2" t="inlineStr">
        <is>
          <t>dateTimeEdit</t>
        </is>
      </c>
      <c r="D568" s="2" t="inlineStr">
        <is>
          <t>date</t>
        </is>
      </c>
      <c r="E568" s="2" t="inlineStr"/>
      <c r="F568" s="2" t="inlineStr"/>
      <c r="G568" s="2" t="inlineStr">
        <is>
          <t>date{DDMMYYYY}</t>
        </is>
      </c>
      <c r="H568" s="2" t="inlineStr">
        <is>
          <t>date{DD/MM/YYYY}</t>
        </is>
      </c>
      <c r="I568" s="2" t="inlineStr">
        <is>
          <t>Editable</t>
        </is>
      </c>
      <c r="J568" s="2" t="inlineStr"/>
      <c r="K568" s="2" t="inlineStr"/>
      <c r="L568" s="2" t="inlineStr">
        <is>
          <t>error</t>
        </is>
      </c>
      <c r="M568" s="2" t="inlineStr"/>
    </row>
    <row r="569">
      <c r="A569" s="2" t="inlineStr">
        <is>
          <t>Page15.TextField2</t>
        </is>
      </c>
      <c r="B569" s="2" t="inlineStr">
        <is>
          <t>Page15</t>
        </is>
      </c>
      <c r="C569" s="2" t="inlineStr">
        <is>
          <t>textEdit</t>
        </is>
      </c>
      <c r="D569" s="2" t="inlineStr">
        <is>
          <t>text</t>
        </is>
      </c>
      <c r="E569" s="2" t="inlineStr"/>
      <c r="F569" s="2" t="inlineStr">
        <is>
          <t>30</t>
        </is>
      </c>
      <c r="G569" s="2" t="inlineStr"/>
      <c r="H569" s="2" t="inlineStr"/>
      <c r="I569" s="2" t="inlineStr">
        <is>
          <t>Editable</t>
        </is>
      </c>
      <c r="J569" s="2" t="inlineStr"/>
      <c r="K569" s="2" t="inlineStr"/>
      <c r="L569" s="2" t="inlineStr"/>
      <c r="M569" s="2" t="inlineStr"/>
    </row>
    <row r="570">
      <c r="A570" s="2" t="inlineStr">
        <is>
          <t>Page15.TextField3</t>
        </is>
      </c>
      <c r="B570" s="2" t="inlineStr">
        <is>
          <t>Page15</t>
        </is>
      </c>
      <c r="C570" s="2" t="inlineStr">
        <is>
          <t>textEdit</t>
        </is>
      </c>
      <c r="D570" s="2" t="inlineStr">
        <is>
          <t>text</t>
        </is>
      </c>
      <c r="E570" s="2" t="inlineStr"/>
      <c r="F570" s="2" t="inlineStr">
        <is>
          <t>50</t>
        </is>
      </c>
      <c r="G570" s="2" t="inlineStr"/>
      <c r="H570" s="2" t="inlineStr"/>
      <c r="I570" s="2" t="inlineStr">
        <is>
          <t>Editable</t>
        </is>
      </c>
      <c r="J570" s="2" t="inlineStr"/>
      <c r="K570" s="2" t="inlineStr"/>
      <c r="L570" s="2" t="inlineStr"/>
      <c r="M570" s="2" t="inlineStr"/>
    </row>
    <row r="571">
      <c r="A571" s="2" t="inlineStr">
        <is>
          <t>Page15.DO3</t>
        </is>
      </c>
      <c r="B571" s="2" t="inlineStr">
        <is>
          <t>Page15</t>
        </is>
      </c>
      <c r="C571" s="2" t="inlineStr">
        <is>
          <t>numericEdit</t>
        </is>
      </c>
      <c r="D571" s="2" t="inlineStr"/>
      <c r="E571" s="2" t="inlineStr"/>
      <c r="F571" s="2" t="inlineStr"/>
      <c r="G571" s="2" t="inlineStr"/>
      <c r="H571" s="2" t="inlineStr">
        <is>
          <t>num.integer{}</t>
        </is>
      </c>
      <c r="I571" s="2" t="inlineStr">
        <is>
          <t>Editable</t>
        </is>
      </c>
      <c r="J571" s="2" t="inlineStr"/>
      <c r="K571" s="2" t="inlineStr"/>
      <c r="L571" s="2" t="inlineStr"/>
      <c r="M571" s="2" t="inlineStr"/>
    </row>
    <row r="572">
      <c r="A572" s="2" t="inlineStr">
        <is>
          <t>Page15.DateTimeField4</t>
        </is>
      </c>
      <c r="B572" s="2" t="inlineStr">
        <is>
          <t>Page15</t>
        </is>
      </c>
      <c r="C572" s="2" t="inlineStr">
        <is>
          <t>dateTimeEdit</t>
        </is>
      </c>
      <c r="D572" s="2" t="inlineStr">
        <is>
          <t>date</t>
        </is>
      </c>
      <c r="E572" s="2" t="inlineStr"/>
      <c r="F572" s="2" t="inlineStr"/>
      <c r="G572" s="2" t="inlineStr">
        <is>
          <t>date{DDMMYYYY}</t>
        </is>
      </c>
      <c r="H572" s="2" t="inlineStr">
        <is>
          <t>date{DD/MM/YYYY}</t>
        </is>
      </c>
      <c r="I572" s="2" t="inlineStr">
        <is>
          <t>Editable</t>
        </is>
      </c>
      <c r="J572" s="2" t="inlineStr"/>
      <c r="K572" s="2" t="inlineStr"/>
      <c r="L572" s="2" t="inlineStr">
        <is>
          <t>error</t>
        </is>
      </c>
      <c r="M572" s="2" t="inlineStr"/>
    </row>
    <row r="573">
      <c r="A573" s="2" t="inlineStr">
        <is>
          <t>Page15.TextField2</t>
        </is>
      </c>
      <c r="B573" s="2" t="inlineStr">
        <is>
          <t>Page15</t>
        </is>
      </c>
      <c r="C573" s="2" t="inlineStr">
        <is>
          <t>textEdit</t>
        </is>
      </c>
      <c r="D573" s="2" t="inlineStr">
        <is>
          <t>text</t>
        </is>
      </c>
      <c r="E573" s="2" t="inlineStr"/>
      <c r="F573" s="2" t="inlineStr">
        <is>
          <t>30</t>
        </is>
      </c>
      <c r="G573" s="2" t="inlineStr"/>
      <c r="H573" s="2" t="inlineStr"/>
      <c r="I573" s="2" t="inlineStr">
        <is>
          <t>Editable</t>
        </is>
      </c>
      <c r="J573" s="2" t="inlineStr"/>
      <c r="K573" s="2" t="inlineStr"/>
      <c r="L573" s="2" t="inlineStr"/>
      <c r="M573" s="2" t="inlineStr"/>
    </row>
    <row r="574">
      <c r="A574" s="2" t="inlineStr">
        <is>
          <t>Page15.TextField3</t>
        </is>
      </c>
      <c r="B574" s="2" t="inlineStr">
        <is>
          <t>Page15</t>
        </is>
      </c>
      <c r="C574" s="2" t="inlineStr">
        <is>
          <t>textEdit</t>
        </is>
      </c>
      <c r="D574" s="2" t="inlineStr">
        <is>
          <t>text</t>
        </is>
      </c>
      <c r="E574" s="2" t="inlineStr"/>
      <c r="F574" s="2" t="inlineStr">
        <is>
          <t>50</t>
        </is>
      </c>
      <c r="G574" s="2" t="inlineStr"/>
      <c r="H574" s="2" t="inlineStr"/>
      <c r="I574" s="2" t="inlineStr">
        <is>
          <t>Editable</t>
        </is>
      </c>
      <c r="J574" s="2" t="inlineStr"/>
      <c r="K574" s="2" t="inlineStr"/>
      <c r="L574" s="2" t="inlineStr"/>
      <c r="M574" s="2" t="inlineStr"/>
    </row>
    <row r="575">
      <c r="A575" s="2" t="inlineStr">
        <is>
          <t>Page15.DO4</t>
        </is>
      </c>
      <c r="B575" s="2" t="inlineStr">
        <is>
          <t>Page15</t>
        </is>
      </c>
      <c r="C575" s="2" t="inlineStr">
        <is>
          <t>numericEdit</t>
        </is>
      </c>
      <c r="D575" s="2" t="inlineStr"/>
      <c r="E575" s="2" t="inlineStr"/>
      <c r="F575" s="2" t="inlineStr"/>
      <c r="G575" s="2" t="inlineStr"/>
      <c r="H575" s="2" t="inlineStr">
        <is>
          <t>num.integer{}</t>
        </is>
      </c>
      <c r="I575" s="2" t="inlineStr">
        <is>
          <t>Editable</t>
        </is>
      </c>
      <c r="J575" s="2" t="inlineStr"/>
      <c r="K575" s="2" t="inlineStr"/>
      <c r="L575" s="2" t="inlineStr"/>
      <c r="M575" s="2" t="inlineStr"/>
    </row>
    <row r="576">
      <c r="A576" s="2" t="inlineStr">
        <is>
          <t>Page15.DateTimeField5</t>
        </is>
      </c>
      <c r="B576" s="2" t="inlineStr">
        <is>
          <t>Page15</t>
        </is>
      </c>
      <c r="C576" s="2" t="inlineStr">
        <is>
          <t>dateTimeEdit</t>
        </is>
      </c>
      <c r="D576" s="2" t="inlineStr">
        <is>
          <t>date</t>
        </is>
      </c>
      <c r="E576" s="2" t="inlineStr"/>
      <c r="F576" s="2" t="inlineStr"/>
      <c r="G576" s="2" t="inlineStr">
        <is>
          <t>date{DDMMYYYY}</t>
        </is>
      </c>
      <c r="H576" s="2" t="inlineStr">
        <is>
          <t>date{DD/MM/YYYY}</t>
        </is>
      </c>
      <c r="I576" s="2" t="inlineStr">
        <is>
          <t>Editable</t>
        </is>
      </c>
      <c r="J576" s="2" t="inlineStr"/>
      <c r="K576" s="2" t="inlineStr"/>
      <c r="L576" s="2" t="inlineStr">
        <is>
          <t>error</t>
        </is>
      </c>
      <c r="M576" s="2" t="inlineStr"/>
    </row>
    <row r="577">
      <c r="A577" s="2" t="inlineStr">
        <is>
          <t>Page15.TextField2</t>
        </is>
      </c>
      <c r="B577" s="2" t="inlineStr">
        <is>
          <t>Page15</t>
        </is>
      </c>
      <c r="C577" s="2" t="inlineStr">
        <is>
          <t>textEdit</t>
        </is>
      </c>
      <c r="D577" s="2" t="inlineStr">
        <is>
          <t>text</t>
        </is>
      </c>
      <c r="E577" s="2" t="inlineStr"/>
      <c r="F577" s="2" t="inlineStr">
        <is>
          <t>30</t>
        </is>
      </c>
      <c r="G577" s="2" t="inlineStr"/>
      <c r="H577" s="2" t="inlineStr"/>
      <c r="I577" s="2" t="inlineStr">
        <is>
          <t>Editable</t>
        </is>
      </c>
      <c r="J577" s="2" t="inlineStr"/>
      <c r="K577" s="2" t="inlineStr"/>
      <c r="L577" s="2" t="inlineStr"/>
      <c r="M577" s="2" t="inlineStr"/>
    </row>
    <row r="578">
      <c r="A578" s="2" t="inlineStr">
        <is>
          <t>Page15.TextField3</t>
        </is>
      </c>
      <c r="B578" s="2" t="inlineStr">
        <is>
          <t>Page15</t>
        </is>
      </c>
      <c r="C578" s="2" t="inlineStr">
        <is>
          <t>textEdit</t>
        </is>
      </c>
      <c r="D578" s="2" t="inlineStr">
        <is>
          <t>text</t>
        </is>
      </c>
      <c r="E578" s="2" t="inlineStr"/>
      <c r="F578" s="2" t="inlineStr">
        <is>
          <t>50</t>
        </is>
      </c>
      <c r="G578" s="2" t="inlineStr"/>
      <c r="H578" s="2" t="inlineStr"/>
      <c r="I578" s="2" t="inlineStr">
        <is>
          <t>Editable</t>
        </is>
      </c>
      <c r="J578" s="2" t="inlineStr"/>
      <c r="K578" s="2" t="inlineStr"/>
      <c r="L578" s="2" t="inlineStr"/>
      <c r="M578" s="2" t="inlineStr"/>
    </row>
    <row r="579">
      <c r="A579" s="2" t="inlineStr">
        <is>
          <t>Page15.DO5</t>
        </is>
      </c>
      <c r="B579" s="2" t="inlineStr">
        <is>
          <t>Page15</t>
        </is>
      </c>
      <c r="C579" s="2" t="inlineStr">
        <is>
          <t>numericEdit</t>
        </is>
      </c>
      <c r="D579" s="2" t="inlineStr"/>
      <c r="E579" s="2" t="inlineStr"/>
      <c r="F579" s="2" t="inlineStr"/>
      <c r="G579" s="2" t="inlineStr"/>
      <c r="H579" s="2" t="inlineStr">
        <is>
          <t>num.integer{}</t>
        </is>
      </c>
      <c r="I579" s="2" t="inlineStr">
        <is>
          <t>Editable</t>
        </is>
      </c>
      <c r="J579" s="2" t="inlineStr"/>
      <c r="K579" s="2" t="inlineStr"/>
      <c r="L579" s="2" t="inlineStr"/>
      <c r="M579" s="2" t="inlineStr"/>
    </row>
    <row r="580">
      <c r="A580" s="2" t="inlineStr">
        <is>
          <t>Page15.DateTimeField6</t>
        </is>
      </c>
      <c r="B580" s="2" t="inlineStr">
        <is>
          <t>Page15</t>
        </is>
      </c>
      <c r="C580" s="2" t="inlineStr">
        <is>
          <t>dateTimeEdit</t>
        </is>
      </c>
      <c r="D580" s="2" t="inlineStr">
        <is>
          <t>date</t>
        </is>
      </c>
      <c r="E580" s="2" t="inlineStr"/>
      <c r="F580" s="2" t="inlineStr"/>
      <c r="G580" s="2" t="inlineStr">
        <is>
          <t>date{DDMMYYYY}</t>
        </is>
      </c>
      <c r="H580" s="2" t="inlineStr">
        <is>
          <t>date{DD/MM/YYYY}</t>
        </is>
      </c>
      <c r="I580" s="2" t="inlineStr">
        <is>
          <t>Editable</t>
        </is>
      </c>
      <c r="J580" s="2" t="inlineStr"/>
      <c r="K580" s="2" t="inlineStr"/>
      <c r="L580" s="2" t="inlineStr">
        <is>
          <t>error</t>
        </is>
      </c>
      <c r="M580" s="2" t="inlineStr"/>
    </row>
    <row r="581">
      <c r="A581" s="2" t="inlineStr">
        <is>
          <t>Page15.TextField2</t>
        </is>
      </c>
      <c r="B581" s="2" t="inlineStr">
        <is>
          <t>Page15</t>
        </is>
      </c>
      <c r="C581" s="2" t="inlineStr">
        <is>
          <t>textEdit</t>
        </is>
      </c>
      <c r="D581" s="2" t="inlineStr">
        <is>
          <t>text</t>
        </is>
      </c>
      <c r="E581" s="2" t="inlineStr"/>
      <c r="F581" s="2" t="inlineStr">
        <is>
          <t>30</t>
        </is>
      </c>
      <c r="G581" s="2" t="inlineStr"/>
      <c r="H581" s="2" t="inlineStr"/>
      <c r="I581" s="2" t="inlineStr">
        <is>
          <t>Editable</t>
        </is>
      </c>
      <c r="J581" s="2" t="inlineStr"/>
      <c r="K581" s="2" t="inlineStr"/>
      <c r="L581" s="2" t="inlineStr"/>
      <c r="M581" s="2" t="inlineStr"/>
    </row>
    <row r="582">
      <c r="A582" s="2" t="inlineStr">
        <is>
          <t>Page15.TextField3</t>
        </is>
      </c>
      <c r="B582" s="2" t="inlineStr">
        <is>
          <t>Page15</t>
        </is>
      </c>
      <c r="C582" s="2" t="inlineStr">
        <is>
          <t>textEdit</t>
        </is>
      </c>
      <c r="D582" s="2" t="inlineStr">
        <is>
          <t>text</t>
        </is>
      </c>
      <c r="E582" s="2" t="inlineStr"/>
      <c r="F582" s="2" t="inlineStr">
        <is>
          <t>50</t>
        </is>
      </c>
      <c r="G582" s="2" t="inlineStr"/>
      <c r="H582" s="2" t="inlineStr"/>
      <c r="I582" s="2" t="inlineStr">
        <is>
          <t>Editable</t>
        </is>
      </c>
      <c r="J582" s="2" t="inlineStr"/>
      <c r="K582" s="2" t="inlineStr"/>
      <c r="L582" s="2" t="inlineStr"/>
      <c r="M582" s="2" t="inlineStr"/>
    </row>
    <row r="583">
      <c r="A583" s="2" t="inlineStr">
        <is>
          <t>Page15.DO6</t>
        </is>
      </c>
      <c r="B583" s="2" t="inlineStr">
        <is>
          <t>Page15</t>
        </is>
      </c>
      <c r="C583" s="2" t="inlineStr">
        <is>
          <t>numericEdit</t>
        </is>
      </c>
      <c r="D583" s="2" t="inlineStr"/>
      <c r="E583" s="2" t="inlineStr"/>
      <c r="F583" s="2" t="inlineStr"/>
      <c r="G583" s="2" t="inlineStr"/>
      <c r="H583" s="2" t="inlineStr">
        <is>
          <t>num.integer{}</t>
        </is>
      </c>
      <c r="I583" s="2" t="inlineStr">
        <is>
          <t>Editable</t>
        </is>
      </c>
      <c r="J583" s="2" t="inlineStr"/>
      <c r="K583" s="2" t="inlineStr"/>
      <c r="L583" s="2" t="inlineStr"/>
      <c r="M583" s="2" t="inlineStr"/>
    </row>
    <row r="584">
      <c r="A584" s="2" t="inlineStr">
        <is>
          <t>Page15.DateTimeField7</t>
        </is>
      </c>
      <c r="B584" s="2" t="inlineStr">
        <is>
          <t>Page15</t>
        </is>
      </c>
      <c r="C584" s="2" t="inlineStr">
        <is>
          <t>dateTimeEdit</t>
        </is>
      </c>
      <c r="D584" s="2" t="inlineStr">
        <is>
          <t>date</t>
        </is>
      </c>
      <c r="E584" s="2" t="inlineStr"/>
      <c r="F584" s="2" t="inlineStr"/>
      <c r="G584" s="2" t="inlineStr">
        <is>
          <t>date{DDMMYYYY}</t>
        </is>
      </c>
      <c r="H584" s="2" t="inlineStr">
        <is>
          <t>date{DD/MM/YYYY}</t>
        </is>
      </c>
      <c r="I584" s="2" t="inlineStr">
        <is>
          <t>Editable</t>
        </is>
      </c>
      <c r="J584" s="2" t="inlineStr"/>
      <c r="K584" s="2" t="inlineStr"/>
      <c r="L584" s="2" t="inlineStr">
        <is>
          <t>error</t>
        </is>
      </c>
      <c r="M584" s="2" t="inlineStr"/>
    </row>
    <row r="585">
      <c r="A585" s="2" t="inlineStr">
        <is>
          <t>Page15.TextField2</t>
        </is>
      </c>
      <c r="B585" s="2" t="inlineStr">
        <is>
          <t>Page15</t>
        </is>
      </c>
      <c r="C585" s="2" t="inlineStr">
        <is>
          <t>textEdit</t>
        </is>
      </c>
      <c r="D585" s="2" t="inlineStr">
        <is>
          <t>text</t>
        </is>
      </c>
      <c r="E585" s="2" t="inlineStr"/>
      <c r="F585" s="2" t="inlineStr">
        <is>
          <t>30</t>
        </is>
      </c>
      <c r="G585" s="2" t="inlineStr"/>
      <c r="H585" s="2" t="inlineStr"/>
      <c r="I585" s="2" t="inlineStr">
        <is>
          <t>Editable</t>
        </is>
      </c>
      <c r="J585" s="2" t="inlineStr"/>
      <c r="K585" s="2" t="inlineStr"/>
      <c r="L585" s="2" t="inlineStr"/>
      <c r="M585" s="2" t="inlineStr"/>
    </row>
    <row r="586">
      <c r="A586" s="2" t="inlineStr">
        <is>
          <t>Page15.TextField3</t>
        </is>
      </c>
      <c r="B586" s="2" t="inlineStr">
        <is>
          <t>Page15</t>
        </is>
      </c>
      <c r="C586" s="2" t="inlineStr">
        <is>
          <t>textEdit</t>
        </is>
      </c>
      <c r="D586" s="2" t="inlineStr">
        <is>
          <t>text</t>
        </is>
      </c>
      <c r="E586" s="2" t="inlineStr"/>
      <c r="F586" s="2" t="inlineStr">
        <is>
          <t>50</t>
        </is>
      </c>
      <c r="G586" s="2" t="inlineStr"/>
      <c r="H586" s="2" t="inlineStr"/>
      <c r="I586" s="2" t="inlineStr">
        <is>
          <t>Editable</t>
        </is>
      </c>
      <c r="J586" s="2" t="inlineStr"/>
      <c r="K586" s="2" t="inlineStr"/>
      <c r="L586" s="2" t="inlineStr"/>
      <c r="M586" s="2" t="inlineStr"/>
    </row>
    <row r="587">
      <c r="A587" s="2" t="inlineStr">
        <is>
          <t>Page15.DO7</t>
        </is>
      </c>
      <c r="B587" s="2" t="inlineStr">
        <is>
          <t>Page15</t>
        </is>
      </c>
      <c r="C587" s="2" t="inlineStr">
        <is>
          <t>numericEdit</t>
        </is>
      </c>
      <c r="D587" s="2" t="inlineStr"/>
      <c r="E587" s="2" t="inlineStr"/>
      <c r="F587" s="2" t="inlineStr"/>
      <c r="G587" s="2" t="inlineStr"/>
      <c r="H587" s="2" t="inlineStr">
        <is>
          <t>num.integer{}</t>
        </is>
      </c>
      <c r="I587" s="2" t="inlineStr">
        <is>
          <t>Editable</t>
        </is>
      </c>
      <c r="J587" s="2" t="inlineStr"/>
      <c r="K587" s="2" t="inlineStr"/>
      <c r="L587" s="2" t="inlineStr"/>
      <c r="M587" s="2" t="inlineStr"/>
    </row>
    <row r="588">
      <c r="A588" s="2" t="inlineStr">
        <is>
          <t>Page15.DateTimeField8</t>
        </is>
      </c>
      <c r="B588" s="2" t="inlineStr">
        <is>
          <t>Page15</t>
        </is>
      </c>
      <c r="C588" s="2" t="inlineStr">
        <is>
          <t>dateTimeEdit</t>
        </is>
      </c>
      <c r="D588" s="2" t="inlineStr">
        <is>
          <t>date</t>
        </is>
      </c>
      <c r="E588" s="2" t="inlineStr"/>
      <c r="F588" s="2" t="inlineStr"/>
      <c r="G588" s="2" t="inlineStr">
        <is>
          <t>date{DDMMYYYY}</t>
        </is>
      </c>
      <c r="H588" s="2" t="inlineStr">
        <is>
          <t>date{DD/MM/YYYY}</t>
        </is>
      </c>
      <c r="I588" s="2" t="inlineStr">
        <is>
          <t>Editable</t>
        </is>
      </c>
      <c r="J588" s="2" t="inlineStr"/>
      <c r="K588" s="2" t="inlineStr"/>
      <c r="L588" s="2" t="inlineStr">
        <is>
          <t>error</t>
        </is>
      </c>
      <c r="M588" s="2" t="inlineStr"/>
    </row>
    <row r="589">
      <c r="A589" s="2" t="inlineStr">
        <is>
          <t>Page15.TextField2</t>
        </is>
      </c>
      <c r="B589" s="2" t="inlineStr">
        <is>
          <t>Page15</t>
        </is>
      </c>
      <c r="C589" s="2" t="inlineStr">
        <is>
          <t>textEdit</t>
        </is>
      </c>
      <c r="D589" s="2" t="inlineStr">
        <is>
          <t>text</t>
        </is>
      </c>
      <c r="E589" s="2" t="inlineStr"/>
      <c r="F589" s="2" t="inlineStr">
        <is>
          <t>30</t>
        </is>
      </c>
      <c r="G589" s="2" t="inlineStr"/>
      <c r="H589" s="2" t="inlineStr"/>
      <c r="I589" s="2" t="inlineStr">
        <is>
          <t>Editable</t>
        </is>
      </c>
      <c r="J589" s="2" t="inlineStr"/>
      <c r="K589" s="2" t="inlineStr"/>
      <c r="L589" s="2" t="inlineStr"/>
      <c r="M589" s="2" t="inlineStr"/>
    </row>
    <row r="590">
      <c r="A590" s="2" t="inlineStr">
        <is>
          <t>Page15.TextField3</t>
        </is>
      </c>
      <c r="B590" s="2" t="inlineStr">
        <is>
          <t>Page15</t>
        </is>
      </c>
      <c r="C590" s="2" t="inlineStr">
        <is>
          <t>textEdit</t>
        </is>
      </c>
      <c r="D590" s="2" t="inlineStr">
        <is>
          <t>text</t>
        </is>
      </c>
      <c r="E590" s="2" t="inlineStr"/>
      <c r="F590" s="2" t="inlineStr">
        <is>
          <t>50</t>
        </is>
      </c>
      <c r="G590" s="2" t="inlineStr"/>
      <c r="H590" s="2" t="inlineStr"/>
      <c r="I590" s="2" t="inlineStr">
        <is>
          <t>Editable</t>
        </is>
      </c>
      <c r="J590" s="2" t="inlineStr"/>
      <c r="K590" s="2" t="inlineStr"/>
      <c r="L590" s="2" t="inlineStr"/>
      <c r="M590" s="2" t="inlineStr"/>
    </row>
    <row r="591">
      <c r="A591" s="2" t="inlineStr">
        <is>
          <t>Page15.DO8</t>
        </is>
      </c>
      <c r="B591" s="2" t="inlineStr">
        <is>
          <t>Page15</t>
        </is>
      </c>
      <c r="C591" s="2" t="inlineStr">
        <is>
          <t>numericEdit</t>
        </is>
      </c>
      <c r="D591" s="2" t="inlineStr"/>
      <c r="E591" s="2" t="inlineStr"/>
      <c r="F591" s="2" t="inlineStr"/>
      <c r="G591" s="2" t="inlineStr"/>
      <c r="H591" s="2" t="inlineStr">
        <is>
          <t>num.integer{}</t>
        </is>
      </c>
      <c r="I591" s="2" t="inlineStr">
        <is>
          <t>Editable</t>
        </is>
      </c>
      <c r="J591" s="2" t="inlineStr"/>
      <c r="K591" s="2" t="inlineStr"/>
      <c r="L591" s="2" t="inlineStr"/>
      <c r="M591" s="2" t="inlineStr"/>
    </row>
    <row r="592">
      <c r="A592" s="2" t="inlineStr">
        <is>
          <t>Page15.DateTimeField9</t>
        </is>
      </c>
      <c r="B592" s="2" t="inlineStr">
        <is>
          <t>Page15</t>
        </is>
      </c>
      <c r="C592" s="2" t="inlineStr">
        <is>
          <t>dateTimeEdit</t>
        </is>
      </c>
      <c r="D592" s="2" t="inlineStr">
        <is>
          <t>date</t>
        </is>
      </c>
      <c r="E592" s="2" t="inlineStr"/>
      <c r="F592" s="2" t="inlineStr"/>
      <c r="G592" s="2" t="inlineStr">
        <is>
          <t>date{DDMMYYYY}</t>
        </is>
      </c>
      <c r="H592" s="2" t="inlineStr">
        <is>
          <t>date{DD/MM/YYYY}</t>
        </is>
      </c>
      <c r="I592" s="2" t="inlineStr">
        <is>
          <t>Editable</t>
        </is>
      </c>
      <c r="J592" s="2" t="inlineStr"/>
      <c r="K592" s="2" t="inlineStr"/>
      <c r="L592" s="2" t="inlineStr">
        <is>
          <t>error</t>
        </is>
      </c>
      <c r="M592" s="2" t="inlineStr"/>
    </row>
    <row r="593">
      <c r="A593" s="2" t="inlineStr">
        <is>
          <t>Page15.TextField2</t>
        </is>
      </c>
      <c r="B593" s="2" t="inlineStr">
        <is>
          <t>Page15</t>
        </is>
      </c>
      <c r="C593" s="2" t="inlineStr">
        <is>
          <t>textEdit</t>
        </is>
      </c>
      <c r="D593" s="2" t="inlineStr">
        <is>
          <t>text</t>
        </is>
      </c>
      <c r="E593" s="2" t="inlineStr"/>
      <c r="F593" s="2" t="inlineStr">
        <is>
          <t>30</t>
        </is>
      </c>
      <c r="G593" s="2" t="inlineStr"/>
      <c r="H593" s="2" t="inlineStr"/>
      <c r="I593" s="2" t="inlineStr">
        <is>
          <t>Editable</t>
        </is>
      </c>
      <c r="J593" s="2" t="inlineStr"/>
      <c r="K593" s="2" t="inlineStr"/>
      <c r="L593" s="2" t="inlineStr"/>
      <c r="M593" s="2" t="inlineStr"/>
    </row>
    <row r="594">
      <c r="A594" s="2" t="inlineStr">
        <is>
          <t>Page15.TextField3</t>
        </is>
      </c>
      <c r="B594" s="2" t="inlineStr">
        <is>
          <t>Page15</t>
        </is>
      </c>
      <c r="C594" s="2" t="inlineStr">
        <is>
          <t>textEdit</t>
        </is>
      </c>
      <c r="D594" s="2" t="inlineStr">
        <is>
          <t>text</t>
        </is>
      </c>
      <c r="E594" s="2" t="inlineStr"/>
      <c r="F594" s="2" t="inlineStr">
        <is>
          <t>50</t>
        </is>
      </c>
      <c r="G594" s="2" t="inlineStr"/>
      <c r="H594" s="2" t="inlineStr"/>
      <c r="I594" s="2" t="inlineStr">
        <is>
          <t>Editable</t>
        </is>
      </c>
      <c r="J594" s="2" t="inlineStr"/>
      <c r="K594" s="2" t="inlineStr"/>
      <c r="L594" s="2" t="inlineStr"/>
      <c r="M594" s="2" t="inlineStr"/>
    </row>
    <row r="595">
      <c r="A595" s="2" t="inlineStr">
        <is>
          <t>Page15.DO9</t>
        </is>
      </c>
      <c r="B595" s="2" t="inlineStr">
        <is>
          <t>Page15</t>
        </is>
      </c>
      <c r="C595" s="2" t="inlineStr">
        <is>
          <t>numericEdit</t>
        </is>
      </c>
      <c r="D595" s="2" t="inlineStr"/>
      <c r="E595" s="2" t="inlineStr"/>
      <c r="F595" s="2" t="inlineStr"/>
      <c r="G595" s="2" t="inlineStr"/>
      <c r="H595" s="2" t="inlineStr">
        <is>
          <t>num.integer{}</t>
        </is>
      </c>
      <c r="I595" s="2" t="inlineStr">
        <is>
          <t>Editable</t>
        </is>
      </c>
      <c r="J595" s="2" t="inlineStr"/>
      <c r="K595" s="2" t="inlineStr"/>
      <c r="L595" s="2" t="inlineStr"/>
      <c r="M595" s="2" t="inlineStr"/>
    </row>
    <row r="596">
      <c r="A596" s="2" t="inlineStr">
        <is>
          <t>Page15.DateTimeField10</t>
        </is>
      </c>
      <c r="B596" s="2" t="inlineStr">
        <is>
          <t>Page15</t>
        </is>
      </c>
      <c r="C596" s="2" t="inlineStr">
        <is>
          <t>dateTimeEdit</t>
        </is>
      </c>
      <c r="D596" s="2" t="inlineStr">
        <is>
          <t>date</t>
        </is>
      </c>
      <c r="E596" s="2" t="inlineStr"/>
      <c r="F596" s="2" t="inlineStr"/>
      <c r="G596" s="2" t="inlineStr">
        <is>
          <t>date{DDMMYYYY}</t>
        </is>
      </c>
      <c r="H596" s="2" t="inlineStr">
        <is>
          <t>date{DD/MM/YYYY}</t>
        </is>
      </c>
      <c r="I596" s="2" t="inlineStr">
        <is>
          <t>Editable</t>
        </is>
      </c>
      <c r="J596" s="2" t="inlineStr"/>
      <c r="K596" s="2" t="inlineStr"/>
      <c r="L596" s="2" t="inlineStr">
        <is>
          <t>error</t>
        </is>
      </c>
      <c r="M596" s="2" t="inlineStr"/>
    </row>
    <row r="597">
      <c r="A597" s="2" t="inlineStr">
        <is>
          <t>Page15.TextField2</t>
        </is>
      </c>
      <c r="B597" s="2" t="inlineStr">
        <is>
          <t>Page15</t>
        </is>
      </c>
      <c r="C597" s="2" t="inlineStr">
        <is>
          <t>textEdit</t>
        </is>
      </c>
      <c r="D597" s="2" t="inlineStr">
        <is>
          <t>text</t>
        </is>
      </c>
      <c r="E597" s="2" t="inlineStr"/>
      <c r="F597" s="2" t="inlineStr">
        <is>
          <t>30</t>
        </is>
      </c>
      <c r="G597" s="2" t="inlineStr"/>
      <c r="H597" s="2" t="inlineStr"/>
      <c r="I597" s="2" t="inlineStr">
        <is>
          <t>Editable</t>
        </is>
      </c>
      <c r="J597" s="2" t="inlineStr"/>
      <c r="K597" s="2" t="inlineStr"/>
      <c r="L597" s="2" t="inlineStr"/>
      <c r="M597" s="2" t="inlineStr"/>
    </row>
    <row r="598">
      <c r="A598" s="2" t="inlineStr">
        <is>
          <t>Page15.TextField3</t>
        </is>
      </c>
      <c r="B598" s="2" t="inlineStr">
        <is>
          <t>Page15</t>
        </is>
      </c>
      <c r="C598" s="2" t="inlineStr">
        <is>
          <t>textEdit</t>
        </is>
      </c>
      <c r="D598" s="2" t="inlineStr">
        <is>
          <t>text</t>
        </is>
      </c>
      <c r="E598" s="2" t="inlineStr"/>
      <c r="F598" s="2" t="inlineStr">
        <is>
          <t>50</t>
        </is>
      </c>
      <c r="G598" s="2" t="inlineStr"/>
      <c r="H598" s="2" t="inlineStr"/>
      <c r="I598" s="2" t="inlineStr">
        <is>
          <t>Editable</t>
        </is>
      </c>
      <c r="J598" s="2" t="inlineStr"/>
      <c r="K598" s="2" t="inlineStr"/>
      <c r="L598" s="2" t="inlineStr"/>
      <c r="M598" s="2" t="inlineStr"/>
    </row>
    <row r="599">
      <c r="A599" s="2" t="inlineStr">
        <is>
          <t>Page15.DO10</t>
        </is>
      </c>
      <c r="B599" s="2" t="inlineStr">
        <is>
          <t>Page15</t>
        </is>
      </c>
      <c r="C599" s="2" t="inlineStr">
        <is>
          <t>numericEdit</t>
        </is>
      </c>
      <c r="D599" s="2" t="inlineStr"/>
      <c r="E599" s="2" t="inlineStr"/>
      <c r="F599" s="2" t="inlineStr"/>
      <c r="G599" s="2" t="inlineStr"/>
      <c r="H599" s="2" t="inlineStr">
        <is>
          <t>num.integer{}</t>
        </is>
      </c>
      <c r="I599" s="2" t="inlineStr">
        <is>
          <t>Editable</t>
        </is>
      </c>
      <c r="J599" s="2" t="inlineStr"/>
      <c r="K599" s="2" t="inlineStr"/>
      <c r="L599" s="2" t="inlineStr"/>
      <c r="M599" s="2" t="inlineStr"/>
    </row>
    <row r="600">
      <c r="A600" s="2" t="inlineStr">
        <is>
          <t>Page15.DateTimeField11</t>
        </is>
      </c>
      <c r="B600" s="2" t="inlineStr">
        <is>
          <t>Page15</t>
        </is>
      </c>
      <c r="C600" s="2" t="inlineStr">
        <is>
          <t>dateTimeEdit</t>
        </is>
      </c>
      <c r="D600" s="2" t="inlineStr">
        <is>
          <t>date</t>
        </is>
      </c>
      <c r="E600" s="2" t="inlineStr"/>
      <c r="F600" s="2" t="inlineStr"/>
      <c r="G600" s="2" t="inlineStr">
        <is>
          <t>date{DDMMYYYY}</t>
        </is>
      </c>
      <c r="H600" s="2" t="inlineStr">
        <is>
          <t>date{DD/MM/YYYY}</t>
        </is>
      </c>
      <c r="I600" s="2" t="inlineStr">
        <is>
          <t>Editable</t>
        </is>
      </c>
      <c r="J600" s="2" t="inlineStr"/>
      <c r="K600" s="2" t="inlineStr"/>
      <c r="L600" s="2" t="inlineStr">
        <is>
          <t>error</t>
        </is>
      </c>
      <c r="M600" s="2" t="inlineStr"/>
    </row>
    <row r="601">
      <c r="A601" s="2" t="inlineStr">
        <is>
          <t>Page15.TextField2</t>
        </is>
      </c>
      <c r="B601" s="2" t="inlineStr">
        <is>
          <t>Page15</t>
        </is>
      </c>
      <c r="C601" s="2" t="inlineStr">
        <is>
          <t>textEdit</t>
        </is>
      </c>
      <c r="D601" s="2" t="inlineStr">
        <is>
          <t>text</t>
        </is>
      </c>
      <c r="E601" s="2" t="inlineStr"/>
      <c r="F601" s="2" t="inlineStr">
        <is>
          <t>30</t>
        </is>
      </c>
      <c r="G601" s="2" t="inlineStr"/>
      <c r="H601" s="2" t="inlineStr"/>
      <c r="I601" s="2" t="inlineStr">
        <is>
          <t>Editable</t>
        </is>
      </c>
      <c r="J601" s="2" t="inlineStr"/>
      <c r="K601" s="2" t="inlineStr"/>
      <c r="L601" s="2" t="inlineStr"/>
      <c r="M601" s="2" t="inlineStr"/>
    </row>
    <row r="602">
      <c r="A602" s="2" t="inlineStr">
        <is>
          <t>Page15.TextField3</t>
        </is>
      </c>
      <c r="B602" s="2" t="inlineStr">
        <is>
          <t>Page15</t>
        </is>
      </c>
      <c r="C602" s="2" t="inlineStr">
        <is>
          <t>textEdit</t>
        </is>
      </c>
      <c r="D602" s="2" t="inlineStr">
        <is>
          <t>text</t>
        </is>
      </c>
      <c r="E602" s="2" t="inlineStr"/>
      <c r="F602" s="2" t="inlineStr">
        <is>
          <t>50</t>
        </is>
      </c>
      <c r="G602" s="2" t="inlineStr"/>
      <c r="H602" s="2" t="inlineStr"/>
      <c r="I602" s="2" t="inlineStr">
        <is>
          <t>Editable</t>
        </is>
      </c>
      <c r="J602" s="2" t="inlineStr"/>
      <c r="K602" s="2" t="inlineStr"/>
      <c r="L602" s="2" t="inlineStr"/>
      <c r="M602" s="2" t="inlineStr"/>
    </row>
    <row r="603">
      <c r="A603" s="2" t="inlineStr">
        <is>
          <t>Page15.DO11</t>
        </is>
      </c>
      <c r="B603" s="2" t="inlineStr">
        <is>
          <t>Page15</t>
        </is>
      </c>
      <c r="C603" s="2" t="inlineStr">
        <is>
          <t>numericEdit</t>
        </is>
      </c>
      <c r="D603" s="2" t="inlineStr"/>
      <c r="E603" s="2" t="inlineStr"/>
      <c r="F603" s="2" t="inlineStr"/>
      <c r="G603" s="2" t="inlineStr"/>
      <c r="H603" s="2" t="inlineStr">
        <is>
          <t>num.integer{}</t>
        </is>
      </c>
      <c r="I603" s="2" t="inlineStr">
        <is>
          <t>Editable</t>
        </is>
      </c>
      <c r="J603" s="2" t="inlineStr"/>
      <c r="K603" s="2" t="inlineStr"/>
      <c r="L603" s="2" t="inlineStr"/>
      <c r="M603" s="2" t="inlineStr"/>
    </row>
    <row r="604">
      <c r="A604" s="2" t="inlineStr">
        <is>
          <t>Page15.DateTimeField12</t>
        </is>
      </c>
      <c r="B604" s="2" t="inlineStr">
        <is>
          <t>Page15</t>
        </is>
      </c>
      <c r="C604" s="2" t="inlineStr">
        <is>
          <t>dateTimeEdit</t>
        </is>
      </c>
      <c r="D604" s="2" t="inlineStr">
        <is>
          <t>date</t>
        </is>
      </c>
      <c r="E604" s="2" t="inlineStr"/>
      <c r="F604" s="2" t="inlineStr"/>
      <c r="G604" s="2" t="inlineStr">
        <is>
          <t>date{DDMMYYYY}</t>
        </is>
      </c>
      <c r="H604" s="2" t="inlineStr">
        <is>
          <t>date{DD/MM/YYYY}</t>
        </is>
      </c>
      <c r="I604" s="2" t="inlineStr">
        <is>
          <t>Editable</t>
        </is>
      </c>
      <c r="J604" s="2" t="inlineStr"/>
      <c r="K604" s="2" t="inlineStr"/>
      <c r="L604" s="2" t="inlineStr">
        <is>
          <t>error</t>
        </is>
      </c>
      <c r="M604" s="2" t="inlineStr"/>
    </row>
    <row r="605">
      <c r="A605" s="2" t="inlineStr">
        <is>
          <t>Page15.TextField2</t>
        </is>
      </c>
      <c r="B605" s="2" t="inlineStr">
        <is>
          <t>Page15</t>
        </is>
      </c>
      <c r="C605" s="2" t="inlineStr">
        <is>
          <t>textEdit</t>
        </is>
      </c>
      <c r="D605" s="2" t="inlineStr">
        <is>
          <t>text</t>
        </is>
      </c>
      <c r="E605" s="2" t="inlineStr"/>
      <c r="F605" s="2" t="inlineStr">
        <is>
          <t>30</t>
        </is>
      </c>
      <c r="G605" s="2" t="inlineStr"/>
      <c r="H605" s="2" t="inlineStr"/>
      <c r="I605" s="2" t="inlineStr">
        <is>
          <t>Editable</t>
        </is>
      </c>
      <c r="J605" s="2" t="inlineStr"/>
      <c r="K605" s="2" t="inlineStr"/>
      <c r="L605" s="2" t="inlineStr"/>
      <c r="M605" s="2" t="inlineStr"/>
    </row>
    <row r="606">
      <c r="A606" s="2" t="inlineStr">
        <is>
          <t>Page15.TextField3</t>
        </is>
      </c>
      <c r="B606" s="2" t="inlineStr">
        <is>
          <t>Page15</t>
        </is>
      </c>
      <c r="C606" s="2" t="inlineStr">
        <is>
          <t>textEdit</t>
        </is>
      </c>
      <c r="D606" s="2" t="inlineStr">
        <is>
          <t>text</t>
        </is>
      </c>
      <c r="E606" s="2" t="inlineStr"/>
      <c r="F606" s="2" t="inlineStr">
        <is>
          <t>50</t>
        </is>
      </c>
      <c r="G606" s="2" t="inlineStr"/>
      <c r="H606" s="2" t="inlineStr"/>
      <c r="I606" s="2" t="inlineStr">
        <is>
          <t>Editable</t>
        </is>
      </c>
      <c r="J606" s="2" t="inlineStr"/>
      <c r="K606" s="2" t="inlineStr"/>
      <c r="L606" s="2" t="inlineStr"/>
      <c r="M606" s="2" t="inlineStr"/>
    </row>
    <row r="607">
      <c r="A607" s="2" t="inlineStr">
        <is>
          <t>Page15.DO12</t>
        </is>
      </c>
      <c r="B607" s="2" t="inlineStr">
        <is>
          <t>Page15</t>
        </is>
      </c>
      <c r="C607" s="2" t="inlineStr">
        <is>
          <t>numericEdit</t>
        </is>
      </c>
      <c r="D607" s="2" t="inlineStr"/>
      <c r="E607" s="2" t="inlineStr"/>
      <c r="F607" s="2" t="inlineStr"/>
      <c r="G607" s="2" t="inlineStr"/>
      <c r="H607" s="2" t="inlineStr">
        <is>
          <t>num.integer{}</t>
        </is>
      </c>
      <c r="I607" s="2" t="inlineStr">
        <is>
          <t>Editable</t>
        </is>
      </c>
      <c r="J607" s="2" t="inlineStr"/>
      <c r="K607" s="2" t="inlineStr"/>
      <c r="L607" s="2" t="inlineStr"/>
      <c r="M607" s="2" t="inlineStr"/>
    </row>
    <row r="608">
      <c r="A608" s="2" t="inlineStr">
        <is>
          <t>Page15.DateTimeField13</t>
        </is>
      </c>
      <c r="B608" s="2" t="inlineStr">
        <is>
          <t>Page15</t>
        </is>
      </c>
      <c r="C608" s="2" t="inlineStr">
        <is>
          <t>dateTimeEdit</t>
        </is>
      </c>
      <c r="D608" s="2" t="inlineStr">
        <is>
          <t>date</t>
        </is>
      </c>
      <c r="E608" s="2" t="inlineStr"/>
      <c r="F608" s="2" t="inlineStr"/>
      <c r="G608" s="2" t="inlineStr">
        <is>
          <t>date{DDMMYYYY}</t>
        </is>
      </c>
      <c r="H608" s="2" t="inlineStr">
        <is>
          <t>date{DD/MM/YYYY}</t>
        </is>
      </c>
      <c r="I608" s="2" t="inlineStr">
        <is>
          <t>Editable</t>
        </is>
      </c>
      <c r="J608" s="2" t="inlineStr"/>
      <c r="K608" s="2" t="inlineStr"/>
      <c r="L608" s="2" t="inlineStr">
        <is>
          <t>error</t>
        </is>
      </c>
      <c r="M608" s="2" t="inlineStr"/>
    </row>
    <row r="609">
      <c r="A609" s="2" t="inlineStr">
        <is>
          <t>Page15.TextField2</t>
        </is>
      </c>
      <c r="B609" s="2" t="inlineStr">
        <is>
          <t>Page15</t>
        </is>
      </c>
      <c r="C609" s="2" t="inlineStr">
        <is>
          <t>textEdit</t>
        </is>
      </c>
      <c r="D609" s="2" t="inlineStr">
        <is>
          <t>text</t>
        </is>
      </c>
      <c r="E609" s="2" t="inlineStr"/>
      <c r="F609" s="2" t="inlineStr">
        <is>
          <t>30</t>
        </is>
      </c>
      <c r="G609" s="2" t="inlineStr"/>
      <c r="H609" s="2" t="inlineStr"/>
      <c r="I609" s="2" t="inlineStr">
        <is>
          <t>Editable</t>
        </is>
      </c>
      <c r="J609" s="2" t="inlineStr"/>
      <c r="K609" s="2" t="inlineStr"/>
      <c r="L609" s="2" t="inlineStr"/>
      <c r="M609" s="2" t="inlineStr"/>
    </row>
    <row r="610">
      <c r="A610" s="2" t="inlineStr">
        <is>
          <t>Page15.TextField3</t>
        </is>
      </c>
      <c r="B610" s="2" t="inlineStr">
        <is>
          <t>Page15</t>
        </is>
      </c>
      <c r="C610" s="2" t="inlineStr">
        <is>
          <t>textEdit</t>
        </is>
      </c>
      <c r="D610" s="2" t="inlineStr">
        <is>
          <t>text</t>
        </is>
      </c>
      <c r="E610" s="2" t="inlineStr"/>
      <c r="F610" s="2" t="inlineStr">
        <is>
          <t>50</t>
        </is>
      </c>
      <c r="G610" s="2" t="inlineStr"/>
      <c r="H610" s="2" t="inlineStr"/>
      <c r="I610" s="2" t="inlineStr">
        <is>
          <t>Editable</t>
        </is>
      </c>
      <c r="J610" s="2" t="inlineStr"/>
      <c r="K610" s="2" t="inlineStr"/>
      <c r="L610" s="2" t="inlineStr"/>
      <c r="M610" s="2" t="inlineStr"/>
    </row>
    <row r="611">
      <c r="A611" s="2" t="inlineStr">
        <is>
          <t>Page15.DO13</t>
        </is>
      </c>
      <c r="B611" s="2" t="inlineStr">
        <is>
          <t>Page15</t>
        </is>
      </c>
      <c r="C611" s="2" t="inlineStr">
        <is>
          <t>numericEdit</t>
        </is>
      </c>
      <c r="D611" s="2" t="inlineStr"/>
      <c r="E611" s="2" t="inlineStr"/>
      <c r="F611" s="2" t="inlineStr"/>
      <c r="G611" s="2" t="inlineStr"/>
      <c r="H611" s="2" t="inlineStr">
        <is>
          <t>num.integer{}</t>
        </is>
      </c>
      <c r="I611" s="2" t="inlineStr">
        <is>
          <t>Editable</t>
        </is>
      </c>
      <c r="J611" s="2" t="inlineStr"/>
      <c r="K611" s="2" t="inlineStr"/>
      <c r="L611" s="2" t="inlineStr"/>
      <c r="M611" s="2" t="inlineStr"/>
    </row>
    <row r="612">
      <c r="A612" s="2" t="inlineStr">
        <is>
          <t>Page15.TextField2</t>
        </is>
      </c>
      <c r="B612" s="2" t="inlineStr">
        <is>
          <t>Page15</t>
        </is>
      </c>
      <c r="C612" s="2" t="inlineStr">
        <is>
          <t>textEdit</t>
        </is>
      </c>
      <c r="D612" s="2" t="inlineStr">
        <is>
          <t>text</t>
        </is>
      </c>
      <c r="E612" s="2" t="inlineStr"/>
      <c r="F612" s="2" t="inlineStr">
        <is>
          <t>30</t>
        </is>
      </c>
      <c r="G612" s="2" t="inlineStr"/>
      <c r="H612" s="2" t="inlineStr"/>
      <c r="I612" s="2" t="inlineStr">
        <is>
          <t>Editable</t>
        </is>
      </c>
      <c r="J612" s="2" t="inlineStr"/>
      <c r="K612" s="2" t="inlineStr"/>
      <c r="L612" s="2" t="inlineStr"/>
      <c r="M612" s="2" t="inlineStr"/>
    </row>
    <row r="613">
      <c r="A613" s="2" t="inlineStr">
        <is>
          <t>Page15.TextField3</t>
        </is>
      </c>
      <c r="B613" s="2" t="inlineStr">
        <is>
          <t>Page15</t>
        </is>
      </c>
      <c r="C613" s="2" t="inlineStr">
        <is>
          <t>textEdit</t>
        </is>
      </c>
      <c r="D613" s="2" t="inlineStr">
        <is>
          <t>text</t>
        </is>
      </c>
      <c r="E613" s="2" t="inlineStr"/>
      <c r="F613" s="2" t="inlineStr">
        <is>
          <t>50</t>
        </is>
      </c>
      <c r="G613" s="2" t="inlineStr"/>
      <c r="H613" s="2" t="inlineStr"/>
      <c r="I613" s="2" t="inlineStr">
        <is>
          <t>Editable</t>
        </is>
      </c>
      <c r="J613" s="2" t="inlineStr"/>
      <c r="K613" s="2" t="inlineStr"/>
      <c r="L613" s="2" t="inlineStr"/>
      <c r="M613" s="2" t="inlineStr"/>
    </row>
    <row r="614">
      <c r="A614" s="2" t="inlineStr">
        <is>
          <t>Page15.DO14</t>
        </is>
      </c>
      <c r="B614" s="2" t="inlineStr">
        <is>
          <t>Page15</t>
        </is>
      </c>
      <c r="C614" s="2" t="inlineStr">
        <is>
          <t>numericEdit</t>
        </is>
      </c>
      <c r="D614" s="2" t="inlineStr"/>
      <c r="E614" s="2" t="inlineStr"/>
      <c r="F614" s="2" t="inlineStr"/>
      <c r="G614" s="2" t="inlineStr"/>
      <c r="H614" s="2" t="inlineStr">
        <is>
          <t>num.integer{}</t>
        </is>
      </c>
      <c r="I614" s="2" t="inlineStr">
        <is>
          <t>Editable</t>
        </is>
      </c>
      <c r="J614" s="2" t="inlineStr"/>
      <c r="K614" s="2" t="inlineStr"/>
      <c r="L614" s="2" t="inlineStr"/>
      <c r="M614" s="2" t="inlineStr"/>
    </row>
    <row r="615">
      <c r="A615" s="2" t="inlineStr">
        <is>
          <t>Page15.DO15</t>
        </is>
      </c>
      <c r="B615" s="2" t="inlineStr">
        <is>
          <t>Page15</t>
        </is>
      </c>
      <c r="C615" s="2" t="inlineStr">
        <is>
          <t>numericEdit</t>
        </is>
      </c>
      <c r="D615" s="2" t="inlineStr"/>
      <c r="E615" s="2" t="inlineStr"/>
      <c r="F615" s="2" t="inlineStr"/>
      <c r="G615" s="2" t="inlineStr"/>
      <c r="H615" s="2" t="inlineStr">
        <is>
          <t>num.integer{}</t>
        </is>
      </c>
      <c r="I615" s="2" t="inlineStr">
        <is>
          <t>Editable</t>
        </is>
      </c>
      <c r="J615" s="2" t="inlineStr"/>
      <c r="K615" s="2" t="inlineStr"/>
      <c r="L615" s="2" t="inlineStr"/>
      <c r="M615" s="2" t="inlineStr"/>
    </row>
    <row r="616">
      <c r="A616" s="2" t="inlineStr">
        <is>
          <t>Page15.DO16</t>
        </is>
      </c>
      <c r="B616" s="2" t="inlineStr">
        <is>
          <t>Page15</t>
        </is>
      </c>
      <c r="C616" s="2" t="inlineStr">
        <is>
          <t>numericEdit</t>
        </is>
      </c>
      <c r="D616" s="2" t="inlineStr"/>
      <c r="E616" s="2" t="inlineStr"/>
      <c r="F616" s="2" t="inlineStr"/>
      <c r="G616" s="2" t="inlineStr"/>
      <c r="H616" s="2" t="inlineStr"/>
      <c r="I616" s="2" t="inlineStr">
        <is>
          <t>Read-only</t>
        </is>
      </c>
      <c r="J616" s="2" t="inlineStr">
        <is>
          <t>Yes</t>
        </is>
      </c>
      <c r="K616" s="2" t="inlineStr"/>
      <c r="L616" s="2" t="inlineStr"/>
      <c r="M616" s="2" t="inlineStr"/>
    </row>
    <row r="617">
      <c r="A617" s="2" t="inlineStr">
        <is>
          <t>Page16.natureofSports1</t>
        </is>
      </c>
      <c r="B617" s="2" t="inlineStr">
        <is>
          <t>Page16</t>
        </is>
      </c>
      <c r="C617" s="2" t="inlineStr">
        <is>
          <t>choiceList</t>
        </is>
      </c>
      <c r="D617" s="2" t="inlineStr"/>
      <c r="E617" s="2" t="inlineStr"/>
      <c r="F617" s="2" t="inlineStr"/>
      <c r="G617" s="2" t="inlineStr"/>
      <c r="H617" s="2" t="inlineStr"/>
      <c r="I617" s="2" t="inlineStr">
        <is>
          <t>Editable</t>
        </is>
      </c>
      <c r="J617" s="2" t="inlineStr"/>
      <c r="K617" s="2" t="inlineStr"/>
      <c r="L617" s="2" t="inlineStr"/>
      <c r="M617" s="2" t="inlineStr">
        <is>
          <t>Competitive/Social; 1/2</t>
        </is>
      </c>
    </row>
    <row r="618">
      <c r="A618" s="2" t="inlineStr">
        <is>
          <t>Page16.natureofSports2</t>
        </is>
      </c>
      <c r="B618" s="2" t="inlineStr">
        <is>
          <t>Page16</t>
        </is>
      </c>
      <c r="C618" s="2" t="inlineStr">
        <is>
          <t>choiceList</t>
        </is>
      </c>
      <c r="D618" s="2" t="inlineStr"/>
      <c r="E618" s="2" t="inlineStr"/>
      <c r="F618" s="2" t="inlineStr"/>
      <c r="G618" s="2" t="inlineStr"/>
      <c r="H618" s="2" t="inlineStr"/>
      <c r="I618" s="2" t="inlineStr">
        <is>
          <t>Editable</t>
        </is>
      </c>
      <c r="J618" s="2" t="inlineStr"/>
      <c r="K618" s="2" t="inlineStr"/>
      <c r="L618" s="2" t="inlineStr"/>
      <c r="M618" s="2" t="inlineStr">
        <is>
          <t>Competitive/Social; 1/2</t>
        </is>
      </c>
    </row>
    <row r="619">
      <c r="A619" s="2" t="inlineStr">
        <is>
          <t>Page16.natureofSports3fieldxmlnshttpwww.xfa.orgschemaxfa-template2.8namenatureofSports2y0inx0inw30.56mmh7.94mmuichoiceListborderhandrightpresencehiddentemplateDesignerStyleIDaped0borderchoiceListuifonttypefaceMyriadProparavAlignmiddleitemstextCompetitivetexttextSocialtextitemsitemssave1presencehiddentext1texttext2textitemsfield</t>
        </is>
      </c>
      <c r="B619" s="2" t="inlineStr">
        <is>
          <t>Page16</t>
        </is>
      </c>
      <c r="C619" s="2" t="inlineStr">
        <is>
          <t>choiceList</t>
        </is>
      </c>
      <c r="D619" s="2" t="inlineStr"/>
      <c r="E619" s="2" t="inlineStr"/>
      <c r="F619" s="2" t="inlineStr"/>
      <c r="G619" s="2" t="inlineStr"/>
      <c r="H619" s="2" t="inlineStr"/>
      <c r="I619" s="2" t="inlineStr">
        <is>
          <t>Editable</t>
        </is>
      </c>
      <c r="J619" s="2" t="inlineStr"/>
      <c r="K619" s="2" t="inlineStr"/>
      <c r="L619" s="2" t="inlineStr"/>
      <c r="M619" s="2" t="inlineStr">
        <is>
          <t>Competitive/Social; 1/2</t>
        </is>
      </c>
    </row>
    <row r="620">
      <c r="A620" s="2" t="inlineStr">
        <is>
          <t>Page16.NameSponTeam1</t>
        </is>
      </c>
      <c r="B620" s="2" t="inlineStr">
        <is>
          <t>Page16</t>
        </is>
      </c>
      <c r="C620" s="2" t="inlineStr">
        <is>
          <t>textEdit</t>
        </is>
      </c>
      <c r="D620" s="2" t="inlineStr">
        <is>
          <t>text</t>
        </is>
      </c>
      <c r="E620" s="2" t="inlineStr"/>
      <c r="F620" s="2" t="inlineStr">
        <is>
          <t>30</t>
        </is>
      </c>
      <c r="G620" s="2" t="inlineStr"/>
      <c r="H620" s="2" t="inlineStr"/>
      <c r="I620" s="2" t="inlineStr">
        <is>
          <t>Editable</t>
        </is>
      </c>
      <c r="J620" s="2" t="inlineStr"/>
      <c r="K620" s="2" t="inlineStr"/>
      <c r="L620" s="2" t="inlineStr"/>
      <c r="M620" s="2" t="inlineStr"/>
    </row>
    <row r="621">
      <c r="A621" s="2" t="inlineStr">
        <is>
          <t>Page16.NameSponTeam2</t>
        </is>
      </c>
      <c r="B621" s="2" t="inlineStr">
        <is>
          <t>Page16</t>
        </is>
      </c>
      <c r="C621" s="2" t="inlineStr">
        <is>
          <t>textEdit</t>
        </is>
      </c>
      <c r="D621" s="2" t="inlineStr">
        <is>
          <t>text</t>
        </is>
      </c>
      <c r="E621" s="2" t="inlineStr"/>
      <c r="F621" s="2" t="inlineStr">
        <is>
          <t>30</t>
        </is>
      </c>
      <c r="G621" s="2" t="inlineStr"/>
      <c r="H621" s="2" t="inlineStr"/>
      <c r="I621" s="2" t="inlineStr">
        <is>
          <t>Editable</t>
        </is>
      </c>
      <c r="J621" s="2" t="inlineStr"/>
      <c r="K621" s="2" t="inlineStr"/>
      <c r="L621" s="2" t="inlineStr"/>
      <c r="M621" s="2" t="inlineStr"/>
    </row>
    <row r="622">
      <c r="A622" s="2" t="inlineStr">
        <is>
          <t>Page16.NameSponTeam3</t>
        </is>
      </c>
      <c r="B622" s="2" t="inlineStr">
        <is>
          <t>Page16</t>
        </is>
      </c>
      <c r="C622" s="2" t="inlineStr">
        <is>
          <t>textEdit</t>
        </is>
      </c>
      <c r="D622" s="2" t="inlineStr">
        <is>
          <t>text</t>
        </is>
      </c>
      <c r="E622" s="2" t="inlineStr"/>
      <c r="F622" s="2" t="inlineStr">
        <is>
          <t>30</t>
        </is>
      </c>
      <c r="G622" s="2" t="inlineStr"/>
      <c r="H622" s="2" t="inlineStr"/>
      <c r="I622" s="2" t="inlineStr">
        <is>
          <t>Editable</t>
        </is>
      </c>
      <c r="J622" s="2" t="inlineStr"/>
      <c r="K622" s="2" t="inlineStr"/>
      <c r="L622" s="2" t="inlineStr"/>
      <c r="M622" s="2" t="inlineStr"/>
    </row>
    <row r="623">
      <c r="A623" s="2" t="inlineStr">
        <is>
          <t>Page16.NameofCompetEvent</t>
        </is>
      </c>
      <c r="B623" s="2" t="inlineStr">
        <is>
          <t>Page16</t>
        </is>
      </c>
      <c r="C623" s="2" t="inlineStr">
        <is>
          <t>textEdit</t>
        </is>
      </c>
      <c r="D623" s="2" t="inlineStr">
        <is>
          <t>text</t>
        </is>
      </c>
      <c r="E623" s="2" t="inlineStr"/>
      <c r="F623" s="2" t="inlineStr">
        <is>
          <t>30</t>
        </is>
      </c>
      <c r="G623" s="2" t="inlineStr"/>
      <c r="H623" s="2" t="inlineStr"/>
      <c r="I623" s="2" t="inlineStr">
        <is>
          <t>Editable</t>
        </is>
      </c>
      <c r="J623" s="2" t="inlineStr"/>
      <c r="K623" s="2" t="inlineStr"/>
      <c r="L623" s="2" t="inlineStr"/>
      <c r="M623" s="2" t="inlineStr"/>
    </row>
    <row r="624">
      <c r="A624" s="2" t="inlineStr">
        <is>
          <t>Page16.NameofCompetEvent2</t>
        </is>
      </c>
      <c r="B624" s="2" t="inlineStr">
        <is>
          <t>Page16</t>
        </is>
      </c>
      <c r="C624" s="2" t="inlineStr">
        <is>
          <t>textEdit</t>
        </is>
      </c>
      <c r="D624" s="2" t="inlineStr">
        <is>
          <t>text</t>
        </is>
      </c>
      <c r="E624" s="2" t="inlineStr"/>
      <c r="F624" s="2" t="inlineStr">
        <is>
          <t>30</t>
        </is>
      </c>
      <c r="G624" s="2" t="inlineStr"/>
      <c r="H624" s="2" t="inlineStr"/>
      <c r="I624" s="2" t="inlineStr">
        <is>
          <t>Editable</t>
        </is>
      </c>
      <c r="J624" s="2" t="inlineStr"/>
      <c r="K624" s="2" t="inlineStr"/>
      <c r="L624" s="2" t="inlineStr"/>
      <c r="M624" s="2" t="inlineStr"/>
    </row>
    <row r="625">
      <c r="A625" s="2" t="inlineStr">
        <is>
          <t>Page16.NameofCompetEvent3</t>
        </is>
      </c>
      <c r="B625" s="2" t="inlineStr">
        <is>
          <t>Page16</t>
        </is>
      </c>
      <c r="C625" s="2" t="inlineStr">
        <is>
          <t>textEdit</t>
        </is>
      </c>
      <c r="D625" s="2" t="inlineStr">
        <is>
          <t>text</t>
        </is>
      </c>
      <c r="E625" s="2" t="inlineStr"/>
      <c r="F625" s="2" t="inlineStr">
        <is>
          <t>30</t>
        </is>
      </c>
      <c r="G625" s="2" t="inlineStr"/>
      <c r="H625" s="2" t="inlineStr"/>
      <c r="I625" s="2" t="inlineStr">
        <is>
          <t>Editable</t>
        </is>
      </c>
      <c r="J625" s="2" t="inlineStr"/>
      <c r="K625" s="2" t="inlineStr"/>
      <c r="L625" s="2" t="inlineStr"/>
      <c r="M625" s="2" t="inlineStr"/>
    </row>
    <row r="626">
      <c r="A626" s="2" t="inlineStr">
        <is>
          <t>Page16.DateofCompetEvent1</t>
        </is>
      </c>
      <c r="B626" s="2" t="inlineStr">
        <is>
          <t>Page16</t>
        </is>
      </c>
      <c r="C626" s="2" t="inlineStr">
        <is>
          <t>dateTimeEdit</t>
        </is>
      </c>
      <c r="D626" s="2" t="inlineStr">
        <is>
          <t>date</t>
        </is>
      </c>
      <c r="E626" s="2" t="inlineStr">
        <is>
          <t>8</t>
        </is>
      </c>
      <c r="F626" s="2" t="inlineStr"/>
      <c r="G626" s="2" t="inlineStr"/>
      <c r="H626" s="2" t="inlineStr">
        <is>
          <t>date{DDMMYYYY}</t>
        </is>
      </c>
      <c r="I626" s="2" t="inlineStr">
        <is>
          <t>Editable</t>
        </is>
      </c>
      <c r="J626" s="2" t="inlineStr"/>
      <c r="K626" s="2" t="inlineStr"/>
      <c r="L626" s="2" t="inlineStr"/>
      <c r="M626" s="2" t="inlineStr"/>
    </row>
    <row r="627">
      <c r="A627" s="2" t="inlineStr">
        <is>
          <t>Page16.DateofCompetEvent2</t>
        </is>
      </c>
      <c r="B627" s="2" t="inlineStr">
        <is>
          <t>Page16</t>
        </is>
      </c>
      <c r="C627" s="2" t="inlineStr">
        <is>
          <t>dateTimeEdit</t>
        </is>
      </c>
      <c r="D627" s="2" t="inlineStr">
        <is>
          <t>date</t>
        </is>
      </c>
      <c r="E627" s="2" t="inlineStr">
        <is>
          <t>8</t>
        </is>
      </c>
      <c r="F627" s="2" t="inlineStr"/>
      <c r="G627" s="2" t="inlineStr"/>
      <c r="H627" s="2" t="inlineStr">
        <is>
          <t>date{DDMMYYYY}</t>
        </is>
      </c>
      <c r="I627" s="2" t="inlineStr">
        <is>
          <t>Editable</t>
        </is>
      </c>
      <c r="J627" s="2" t="inlineStr"/>
      <c r="K627" s="2" t="inlineStr"/>
      <c r="L627" s="2" t="inlineStr"/>
      <c r="M627" s="2" t="inlineStr"/>
    </row>
    <row r="628">
      <c r="A628" s="2" t="inlineStr">
        <is>
          <t>Page16.DateofCompetEvent3</t>
        </is>
      </c>
      <c r="B628" s="2" t="inlineStr">
        <is>
          <t>Page16</t>
        </is>
      </c>
      <c r="C628" s="2" t="inlineStr">
        <is>
          <t>dateTimeEdit</t>
        </is>
      </c>
      <c r="D628" s="2" t="inlineStr">
        <is>
          <t>date</t>
        </is>
      </c>
      <c r="E628" s="2" t="inlineStr">
        <is>
          <t>8</t>
        </is>
      </c>
      <c r="F628" s="2" t="inlineStr"/>
      <c r="G628" s="2" t="inlineStr"/>
      <c r="H628" s="2" t="inlineStr">
        <is>
          <t>date{DDMMYYYY}</t>
        </is>
      </c>
      <c r="I628" s="2" t="inlineStr">
        <is>
          <t>Editable</t>
        </is>
      </c>
      <c r="J628" s="2" t="inlineStr"/>
      <c r="K628" s="2" t="inlineStr"/>
      <c r="L628" s="2" t="inlineStr"/>
      <c r="M628" s="2" t="inlineStr"/>
    </row>
    <row r="629">
      <c r="A629" s="2" t="inlineStr">
        <is>
          <t>Page16.DateofPayment1</t>
        </is>
      </c>
      <c r="B629" s="2" t="inlineStr">
        <is>
          <t>Page16</t>
        </is>
      </c>
      <c r="C629" s="2" t="inlineStr">
        <is>
          <t>dateTimeEdit</t>
        </is>
      </c>
      <c r="D629" s="2" t="inlineStr">
        <is>
          <t>date</t>
        </is>
      </c>
      <c r="E629" s="2" t="inlineStr">
        <is>
          <t>8</t>
        </is>
      </c>
      <c r="F629" s="2" t="inlineStr"/>
      <c r="G629" s="2" t="inlineStr"/>
      <c r="H629" s="2" t="inlineStr">
        <is>
          <t>date{DDMMYYYY}</t>
        </is>
      </c>
      <c r="I629" s="2" t="inlineStr">
        <is>
          <t>Editable</t>
        </is>
      </c>
      <c r="J629" s="2" t="inlineStr"/>
      <c r="K629" s="2" t="inlineStr"/>
      <c r="L629" s="2" t="inlineStr"/>
      <c r="M629" s="2" t="inlineStr"/>
    </row>
    <row r="630">
      <c r="A630" s="2" t="inlineStr">
        <is>
          <t>Page16.DateofPayment2</t>
        </is>
      </c>
      <c r="B630" s="2" t="inlineStr">
        <is>
          <t>Page16</t>
        </is>
      </c>
      <c r="C630" s="2" t="inlineStr">
        <is>
          <t>dateTimeEdit</t>
        </is>
      </c>
      <c r="D630" s="2" t="inlineStr">
        <is>
          <t>date</t>
        </is>
      </c>
      <c r="E630" s="2" t="inlineStr"/>
      <c r="F630" s="2" t="inlineStr"/>
      <c r="G630" s="2" t="inlineStr"/>
      <c r="H630" s="2" t="inlineStr">
        <is>
          <t>date{DDMMYYYY}</t>
        </is>
      </c>
      <c r="I630" s="2" t="inlineStr">
        <is>
          <t>Editable</t>
        </is>
      </c>
      <c r="J630" s="2" t="inlineStr"/>
      <c r="K630" s="2" t="inlineStr"/>
      <c r="L630" s="2" t="inlineStr"/>
      <c r="M630" s="2" t="inlineStr"/>
    </row>
    <row r="631">
      <c r="A631" s="2" t="inlineStr">
        <is>
          <t>Page16.DateofPayment3</t>
        </is>
      </c>
      <c r="B631" s="2" t="inlineStr">
        <is>
          <t>Page16</t>
        </is>
      </c>
      <c r="C631" s="2" t="inlineStr">
        <is>
          <t>dateTimeEdit</t>
        </is>
      </c>
      <c r="D631" s="2" t="inlineStr">
        <is>
          <t>date</t>
        </is>
      </c>
      <c r="E631" s="2" t="inlineStr">
        <is>
          <t>8</t>
        </is>
      </c>
      <c r="F631" s="2" t="inlineStr"/>
      <c r="G631" s="2" t="inlineStr"/>
      <c r="H631" s="2" t="inlineStr">
        <is>
          <t>date{DDMMYYYY}</t>
        </is>
      </c>
      <c r="I631" s="2" t="inlineStr">
        <is>
          <t>Editable</t>
        </is>
      </c>
      <c r="J631" s="2" t="inlineStr"/>
      <c r="K631" s="2" t="inlineStr"/>
      <c r="L631" s="2" t="inlineStr"/>
      <c r="M631" s="2" t="inlineStr"/>
    </row>
    <row r="632">
      <c r="A632" s="2" t="inlineStr">
        <is>
          <t>Page16.TeamSponamount1</t>
        </is>
      </c>
      <c r="B632" s="2" t="inlineStr">
        <is>
          <t>Page16</t>
        </is>
      </c>
      <c r="C632" s="2" t="inlineStr">
        <is>
          <t>numericEdit</t>
        </is>
      </c>
      <c r="D632" s="2" t="inlineStr"/>
      <c r="E632" s="2" t="inlineStr"/>
      <c r="F632" s="2" t="inlineStr"/>
      <c r="G632" s="2" t="inlineStr"/>
      <c r="H632" s="2" t="inlineStr">
        <is>
          <t>num.integer{}</t>
        </is>
      </c>
      <c r="I632" s="2" t="inlineStr">
        <is>
          <t>Editable</t>
        </is>
      </c>
      <c r="J632" s="2" t="inlineStr"/>
      <c r="K632" s="2" t="inlineStr"/>
      <c r="L632" s="2" t="inlineStr"/>
      <c r="M632" s="2" t="inlineStr"/>
    </row>
    <row r="633">
      <c r="A633" s="2" t="inlineStr">
        <is>
          <t>Page16.TeamSponamount2</t>
        </is>
      </c>
      <c r="B633" s="2" t="inlineStr">
        <is>
          <t>Page16</t>
        </is>
      </c>
      <c r="C633" s="2" t="inlineStr">
        <is>
          <t>numericEdit</t>
        </is>
      </c>
      <c r="D633" s="2" t="inlineStr"/>
      <c r="E633" s="2" t="inlineStr"/>
      <c r="F633" s="2" t="inlineStr"/>
      <c r="G633" s="2" t="inlineStr"/>
      <c r="H633" s="2" t="inlineStr">
        <is>
          <t>num.integer{}</t>
        </is>
      </c>
      <c r="I633" s="2" t="inlineStr">
        <is>
          <t>Editable</t>
        </is>
      </c>
      <c r="J633" s="2" t="inlineStr"/>
      <c r="K633" s="2" t="inlineStr"/>
      <c r="L633" s="2" t="inlineStr"/>
      <c r="M633" s="2" t="inlineStr"/>
    </row>
    <row r="634">
      <c r="A634" s="2" t="inlineStr">
        <is>
          <t>Page16.TeamSponamount3</t>
        </is>
      </c>
      <c r="B634" s="2" t="inlineStr">
        <is>
          <t>Page16</t>
        </is>
      </c>
      <c r="C634" s="2" t="inlineStr">
        <is>
          <t>numericEdit</t>
        </is>
      </c>
      <c r="D634" s="2" t="inlineStr"/>
      <c r="E634" s="2" t="inlineStr"/>
      <c r="F634" s="2" t="inlineStr"/>
      <c r="G634" s="2" t="inlineStr"/>
      <c r="H634" s="2" t="inlineStr">
        <is>
          <t>num.integer{}</t>
        </is>
      </c>
      <c r="I634" s="2" t="inlineStr">
        <is>
          <t>Editable</t>
        </is>
      </c>
      <c r="J634" s="2" t="inlineStr"/>
      <c r="K634" s="2" t="inlineStr"/>
      <c r="L634" s="2" t="inlineStr"/>
      <c r="M634" s="2" t="inlineStr"/>
    </row>
    <row r="635">
      <c r="A635" s="2" t="inlineStr">
        <is>
          <t>Page16.TeamSponamount4</t>
        </is>
      </c>
      <c r="B635" s="2" t="inlineStr">
        <is>
          <t>Page16</t>
        </is>
      </c>
      <c r="C635" s="2" t="inlineStr">
        <is>
          <t>numericEdit</t>
        </is>
      </c>
      <c r="D635" s="2" t="inlineStr"/>
      <c r="E635" s="2" t="inlineStr"/>
      <c r="F635" s="2" t="inlineStr"/>
      <c r="G635" s="2" t="inlineStr"/>
      <c r="H635" s="2" t="inlineStr">
        <is>
          <t>num.integer{}</t>
        </is>
      </c>
      <c r="I635" s="2" t="inlineStr">
        <is>
          <t>Editable</t>
        </is>
      </c>
      <c r="J635" s="2" t="inlineStr"/>
      <c r="K635" s="2" t="inlineStr"/>
      <c r="L635" s="2" t="inlineStr"/>
      <c r="M635" s="2" t="inlineStr"/>
    </row>
    <row r="636">
      <c r="A636" s="2" t="inlineStr">
        <is>
          <t>Page16.TeamSponamountTotal</t>
        </is>
      </c>
      <c r="B636" s="2" t="inlineStr">
        <is>
          <t>Page16</t>
        </is>
      </c>
      <c r="C636" s="2" t="inlineStr">
        <is>
          <t>numericEdit</t>
        </is>
      </c>
      <c r="D636" s="2" t="inlineStr"/>
      <c r="E636" s="2" t="inlineStr"/>
      <c r="F636" s="2" t="inlineStr"/>
      <c r="G636" s="2" t="inlineStr"/>
      <c r="H636" s="2" t="inlineStr"/>
      <c r="I636" s="2" t="inlineStr">
        <is>
          <t>Read-only</t>
        </is>
      </c>
      <c r="J636" s="2" t="inlineStr">
        <is>
          <t>Yes</t>
        </is>
      </c>
      <c r="K636" s="2" t="inlineStr"/>
      <c r="L636" s="2" t="inlineStr"/>
      <c r="M636" s="2" t="inlineStr"/>
    </row>
    <row r="637">
      <c r="A637" s="2" t="inlineStr">
        <is>
          <t>Page16.DateofPaymentMedia1</t>
        </is>
      </c>
      <c r="B637" s="2" t="inlineStr">
        <is>
          <t>Page16</t>
        </is>
      </c>
      <c r="C637" s="2" t="inlineStr">
        <is>
          <t>dateTimeEdit</t>
        </is>
      </c>
      <c r="D637" s="2" t="inlineStr">
        <is>
          <t>date</t>
        </is>
      </c>
      <c r="E637" s="2" t="inlineStr">
        <is>
          <t>8</t>
        </is>
      </c>
      <c r="F637" s="2" t="inlineStr"/>
      <c r="G637" s="2" t="inlineStr"/>
      <c r="H637" s="2" t="inlineStr">
        <is>
          <t>date{DDMMYYYY}</t>
        </is>
      </c>
      <c r="I637" s="2" t="inlineStr">
        <is>
          <t>Editable</t>
        </is>
      </c>
      <c r="J637" s="2" t="inlineStr"/>
      <c r="K637" s="2" t="inlineStr"/>
      <c r="L637" s="2" t="inlineStr"/>
      <c r="M637" s="2" t="inlineStr"/>
    </row>
    <row r="638">
      <c r="A638" s="2" t="inlineStr">
        <is>
          <t>Page16.DateofPaymentMedia2</t>
        </is>
      </c>
      <c r="B638" s="2" t="inlineStr">
        <is>
          <t>Page16</t>
        </is>
      </c>
      <c r="C638" s="2" t="inlineStr">
        <is>
          <t>dateTimeEdit</t>
        </is>
      </c>
      <c r="D638" s="2" t="inlineStr">
        <is>
          <t>date</t>
        </is>
      </c>
      <c r="E638" s="2" t="inlineStr">
        <is>
          <t>8</t>
        </is>
      </c>
      <c r="F638" s="2" t="inlineStr"/>
      <c r="G638" s="2" t="inlineStr"/>
      <c r="H638" s="2" t="inlineStr">
        <is>
          <t>date{DDMMYYYY}</t>
        </is>
      </c>
      <c r="I638" s="2" t="inlineStr">
        <is>
          <t>Editable</t>
        </is>
      </c>
      <c r="J638" s="2" t="inlineStr"/>
      <c r="K638" s="2" t="inlineStr"/>
      <c r="L638" s="2" t="inlineStr"/>
      <c r="M638" s="2" t="inlineStr"/>
    </row>
    <row r="639">
      <c r="A639" s="2" t="inlineStr">
        <is>
          <t>Page16.DateofPaymentMedia3</t>
        </is>
      </c>
      <c r="B639" s="2" t="inlineStr">
        <is>
          <t>Page16</t>
        </is>
      </c>
      <c r="C639" s="2" t="inlineStr">
        <is>
          <t>dateTimeEdit</t>
        </is>
      </c>
      <c r="D639" s="2" t="inlineStr">
        <is>
          <t>date</t>
        </is>
      </c>
      <c r="E639" s="2" t="inlineStr">
        <is>
          <t>8</t>
        </is>
      </c>
      <c r="F639" s="2" t="inlineStr"/>
      <c r="G639" s="2" t="inlineStr"/>
      <c r="H639" s="2" t="inlineStr">
        <is>
          <t>date{DDMMYYYY}</t>
        </is>
      </c>
      <c r="I639" s="2" t="inlineStr">
        <is>
          <t>Editable</t>
        </is>
      </c>
      <c r="J639" s="2" t="inlineStr"/>
      <c r="K639" s="2" t="inlineStr"/>
      <c r="L639" s="2" t="inlineStr"/>
      <c r="M639" s="2" t="inlineStr"/>
    </row>
    <row r="640">
      <c r="A640" s="2" t="inlineStr">
        <is>
          <t>Page16.MediaSponamount1</t>
        </is>
      </c>
      <c r="B640" s="2" t="inlineStr">
        <is>
          <t>Page16</t>
        </is>
      </c>
      <c r="C640" s="2" t="inlineStr">
        <is>
          <t>numericEdit</t>
        </is>
      </c>
      <c r="D640" s="2" t="inlineStr"/>
      <c r="E640" s="2" t="inlineStr"/>
      <c r="F640" s="2" t="inlineStr"/>
      <c r="G640" s="2" t="inlineStr"/>
      <c r="H640" s="2" t="inlineStr">
        <is>
          <t>num.integer{}</t>
        </is>
      </c>
      <c r="I640" s="2" t="inlineStr">
        <is>
          <t>Editable</t>
        </is>
      </c>
      <c r="J640" s="2" t="inlineStr"/>
      <c r="K640" s="2" t="inlineStr"/>
      <c r="L640" s="2" t="inlineStr"/>
      <c r="M640" s="2" t="inlineStr"/>
    </row>
    <row r="641">
      <c r="A641" s="2" t="inlineStr">
        <is>
          <t>Page16.MediaSponamount2</t>
        </is>
      </c>
      <c r="B641" s="2" t="inlineStr">
        <is>
          <t>Page16</t>
        </is>
      </c>
      <c r="C641" s="2" t="inlineStr">
        <is>
          <t>numericEdit</t>
        </is>
      </c>
      <c r="D641" s="2" t="inlineStr"/>
      <c r="E641" s="2" t="inlineStr"/>
      <c r="F641" s="2" t="inlineStr"/>
      <c r="G641" s="2" t="inlineStr"/>
      <c r="H641" s="2" t="inlineStr">
        <is>
          <t>num.integer{}</t>
        </is>
      </c>
      <c r="I641" s="2" t="inlineStr">
        <is>
          <t>Editable</t>
        </is>
      </c>
      <c r="J641" s="2" t="inlineStr"/>
      <c r="K641" s="2" t="inlineStr"/>
      <c r="L641" s="2" t="inlineStr"/>
      <c r="M641" s="2" t="inlineStr"/>
    </row>
    <row r="642">
      <c r="A642" s="2" t="inlineStr">
        <is>
          <t>Page16.MediaSponamount3</t>
        </is>
      </c>
      <c r="B642" s="2" t="inlineStr">
        <is>
          <t>Page16</t>
        </is>
      </c>
      <c r="C642" s="2" t="inlineStr">
        <is>
          <t>numericEdit</t>
        </is>
      </c>
      <c r="D642" s="2" t="inlineStr"/>
      <c r="E642" s="2" t="inlineStr"/>
      <c r="F642" s="2" t="inlineStr"/>
      <c r="G642" s="2" t="inlineStr"/>
      <c r="H642" s="2" t="inlineStr">
        <is>
          <t>num.integer{}</t>
        </is>
      </c>
      <c r="I642" s="2" t="inlineStr">
        <is>
          <t>Editable</t>
        </is>
      </c>
      <c r="J642" s="2" t="inlineStr"/>
      <c r="K642" s="2" t="inlineStr"/>
      <c r="L642" s="2" t="inlineStr"/>
      <c r="M642" s="2" t="inlineStr"/>
    </row>
    <row r="643">
      <c r="A643" s="2" t="inlineStr">
        <is>
          <t>Page16.MediaSponamount4</t>
        </is>
      </c>
      <c r="B643" s="2" t="inlineStr">
        <is>
          <t>Page16</t>
        </is>
      </c>
      <c r="C643" s="2" t="inlineStr">
        <is>
          <t>numericEdit</t>
        </is>
      </c>
      <c r="D643" s="2" t="inlineStr"/>
      <c r="E643" s="2" t="inlineStr"/>
      <c r="F643" s="2" t="inlineStr"/>
      <c r="G643" s="2" t="inlineStr"/>
      <c r="H643" s="2" t="inlineStr">
        <is>
          <t>num.integer{}</t>
        </is>
      </c>
      <c r="I643" s="2" t="inlineStr">
        <is>
          <t>Editable</t>
        </is>
      </c>
      <c r="J643" s="2" t="inlineStr"/>
      <c r="K643" s="2" t="inlineStr"/>
      <c r="L643" s="2" t="inlineStr"/>
      <c r="M643" s="2" t="inlineStr"/>
    </row>
    <row r="644">
      <c r="A644" s="2" t="inlineStr">
        <is>
          <t>Page16.MediaSponamountTotal</t>
        </is>
      </c>
      <c r="B644" s="2" t="inlineStr">
        <is>
          <t>Page16</t>
        </is>
      </c>
      <c r="C644" s="2" t="inlineStr">
        <is>
          <t>numericEdit</t>
        </is>
      </c>
      <c r="D644" s="2" t="inlineStr"/>
      <c r="E644" s="2" t="inlineStr"/>
      <c r="F644" s="2" t="inlineStr"/>
      <c r="G644" s="2" t="inlineStr"/>
      <c r="H644" s="2" t="inlineStr"/>
      <c r="I644" s="2" t="inlineStr">
        <is>
          <t>Read-only</t>
        </is>
      </c>
      <c r="J644" s="2" t="inlineStr">
        <is>
          <t>Yes</t>
        </is>
      </c>
      <c r="K644" s="2" t="inlineStr"/>
      <c r="L644" s="2" t="inlineStr"/>
      <c r="M644" s="2" t="inlineStr"/>
    </row>
    <row r="645">
      <c r="A645" s="2" t="inlineStr">
        <is>
          <t>Page16.TotalSponPaid</t>
        </is>
      </c>
      <c r="B645" s="2" t="inlineStr">
        <is>
          <t>Page16</t>
        </is>
      </c>
      <c r="C645" s="2" t="inlineStr">
        <is>
          <t>numericEdit</t>
        </is>
      </c>
      <c r="D645" s="2" t="inlineStr"/>
      <c r="E645" s="2" t="inlineStr"/>
      <c r="F645" s="2" t="inlineStr"/>
      <c r="G645" s="2" t="inlineStr"/>
      <c r="H645" s="2" t="inlineStr"/>
      <c r="I645" s="2" t="inlineStr">
        <is>
          <t>Read-only</t>
        </is>
      </c>
      <c r="J645" s="2" t="inlineStr">
        <is>
          <t>Yes</t>
        </is>
      </c>
      <c r="K645" s="2" t="inlineStr"/>
      <c r="L645" s="2" t="inlineStr"/>
      <c r="M645" s="2" t="inlineStr"/>
    </row>
    <row r="646">
      <c r="A646" s="2" t="inlineStr">
        <is>
          <t>Page16.Venue1</t>
        </is>
      </c>
      <c r="B646" s="2" t="inlineStr">
        <is>
          <t>Page16</t>
        </is>
      </c>
      <c r="C646" s="2" t="inlineStr">
        <is>
          <t>textEdit</t>
        </is>
      </c>
      <c r="D646" s="2" t="inlineStr">
        <is>
          <t>text</t>
        </is>
      </c>
      <c r="E646" s="2" t="inlineStr"/>
      <c r="F646" s="2" t="inlineStr">
        <is>
          <t>30</t>
        </is>
      </c>
      <c r="G646" s="2" t="inlineStr"/>
      <c r="H646" s="2" t="inlineStr"/>
      <c r="I646" s="2" t="inlineStr">
        <is>
          <t>Editable</t>
        </is>
      </c>
      <c r="J646" s="2" t="inlineStr"/>
      <c r="K646" s="2" t="inlineStr"/>
      <c r="L646" s="2" t="inlineStr"/>
      <c r="M646" s="2" t="inlineStr"/>
    </row>
    <row r="647">
      <c r="A647" s="2" t="inlineStr">
        <is>
          <t>Page16.Venue2</t>
        </is>
      </c>
      <c r="B647" s="2" t="inlineStr">
        <is>
          <t>Page16</t>
        </is>
      </c>
      <c r="C647" s="2" t="inlineStr">
        <is>
          <t>textEdit</t>
        </is>
      </c>
      <c r="D647" s="2" t="inlineStr">
        <is>
          <t>text</t>
        </is>
      </c>
      <c r="E647" s="2" t="inlineStr"/>
      <c r="F647" s="2" t="inlineStr">
        <is>
          <t>30</t>
        </is>
      </c>
      <c r="G647" s="2" t="inlineStr"/>
      <c r="H647" s="2" t="inlineStr"/>
      <c r="I647" s="2" t="inlineStr">
        <is>
          <t>Editable</t>
        </is>
      </c>
      <c r="J647" s="2" t="inlineStr"/>
      <c r="K647" s="2" t="inlineStr"/>
      <c r="L647" s="2" t="inlineStr"/>
      <c r="M647" s="2" t="inlineStr"/>
    </row>
    <row r="648">
      <c r="A648" s="2" t="inlineStr">
        <is>
          <t>Page16.Venue3</t>
        </is>
      </c>
      <c r="B648" s="2" t="inlineStr">
        <is>
          <t>Page16</t>
        </is>
      </c>
      <c r="C648" s="2" t="inlineStr">
        <is>
          <t>textEdit</t>
        </is>
      </c>
      <c r="D648" s="2" t="inlineStr">
        <is>
          <t>text</t>
        </is>
      </c>
      <c r="E648" s="2" t="inlineStr"/>
      <c r="F648" s="2" t="inlineStr">
        <is>
          <t>30</t>
        </is>
      </c>
      <c r="G648" s="2" t="inlineStr"/>
      <c r="H648" s="2" t="inlineStr"/>
      <c r="I648" s="2" t="inlineStr">
        <is>
          <t>Editable</t>
        </is>
      </c>
      <c r="J648" s="2" t="inlineStr"/>
      <c r="K648" s="2" t="inlineStr"/>
      <c r="L648" s="2" t="inlineStr"/>
      <c r="M648" s="2" t="inlineStr"/>
    </row>
    <row r="649">
      <c r="A649" s="2" t="inlineStr">
        <is>
          <t>Page16.NameMediaProg1</t>
        </is>
      </c>
      <c r="B649" s="2" t="inlineStr">
        <is>
          <t>Page16</t>
        </is>
      </c>
      <c r="C649" s="2" t="inlineStr">
        <is>
          <t>textEdit</t>
        </is>
      </c>
      <c r="D649" s="2" t="inlineStr">
        <is>
          <t>text</t>
        </is>
      </c>
      <c r="E649" s="2" t="inlineStr"/>
      <c r="F649" s="2" t="inlineStr">
        <is>
          <t>30</t>
        </is>
      </c>
      <c r="G649" s="2" t="inlineStr"/>
      <c r="H649" s="2" t="inlineStr"/>
      <c r="I649" s="2" t="inlineStr">
        <is>
          <t>Editable</t>
        </is>
      </c>
      <c r="J649" s="2" t="inlineStr"/>
      <c r="K649" s="2" t="inlineStr"/>
      <c r="L649" s="2" t="inlineStr"/>
      <c r="M649" s="2" t="inlineStr"/>
    </row>
    <row r="650">
      <c r="A650" s="2" t="inlineStr">
        <is>
          <t>Page16.NameMediaProg1</t>
        </is>
      </c>
      <c r="B650" s="2" t="inlineStr">
        <is>
          <t>Page16</t>
        </is>
      </c>
      <c r="C650" s="2" t="inlineStr">
        <is>
          <t>textEdit</t>
        </is>
      </c>
      <c r="D650" s="2" t="inlineStr">
        <is>
          <t>text</t>
        </is>
      </c>
      <c r="E650" s="2" t="inlineStr"/>
      <c r="F650" s="2" t="inlineStr">
        <is>
          <t>30</t>
        </is>
      </c>
      <c r="G650" s="2" t="inlineStr"/>
      <c r="H650" s="2" t="inlineStr"/>
      <c r="I650" s="2" t="inlineStr">
        <is>
          <t>Editable</t>
        </is>
      </c>
      <c r="J650" s="2" t="inlineStr"/>
      <c r="K650" s="2" t="inlineStr"/>
      <c r="L650" s="2" t="inlineStr"/>
      <c r="M650" s="2" t="inlineStr"/>
    </row>
    <row r="651">
      <c r="A651" s="2" t="inlineStr">
        <is>
          <t>Page16.NameMediaProg3</t>
        </is>
      </c>
      <c r="B651" s="2" t="inlineStr">
        <is>
          <t>Page16</t>
        </is>
      </c>
      <c r="C651" s="2" t="inlineStr">
        <is>
          <t>textEdit</t>
        </is>
      </c>
      <c r="D651" s="2" t="inlineStr">
        <is>
          <t>text</t>
        </is>
      </c>
      <c r="E651" s="2" t="inlineStr"/>
      <c r="F651" s="2" t="inlineStr">
        <is>
          <t>30</t>
        </is>
      </c>
      <c r="G651" s="2" t="inlineStr"/>
      <c r="H651" s="2" t="inlineStr"/>
      <c r="I651" s="2" t="inlineStr">
        <is>
          <t>Editable</t>
        </is>
      </c>
      <c r="J651" s="2" t="inlineStr"/>
      <c r="K651" s="2" t="inlineStr"/>
      <c r="L651" s="2" t="inlineStr"/>
      <c r="M651" s="2" t="inlineStr"/>
    </row>
    <row r="652">
      <c r="A652" s="2" t="inlineStr">
        <is>
          <t>Page16.NameBroadMedia1</t>
        </is>
      </c>
      <c r="B652" s="2" t="inlineStr">
        <is>
          <t>Page16</t>
        </is>
      </c>
      <c r="C652" s="2" t="inlineStr">
        <is>
          <t>textEdit</t>
        </is>
      </c>
      <c r="D652" s="2" t="inlineStr">
        <is>
          <t>text</t>
        </is>
      </c>
      <c r="E652" s="2" t="inlineStr"/>
      <c r="F652" s="2" t="inlineStr">
        <is>
          <t>30</t>
        </is>
      </c>
      <c r="G652" s="2" t="inlineStr"/>
      <c r="H652" s="2" t="inlineStr"/>
      <c r="I652" s="2" t="inlineStr">
        <is>
          <t>Editable</t>
        </is>
      </c>
      <c r="J652" s="2" t="inlineStr"/>
      <c r="K652" s="2" t="inlineStr"/>
      <c r="L652" s="2" t="inlineStr"/>
      <c r="M652" s="2" t="inlineStr"/>
    </row>
    <row r="653">
      <c r="A653" s="2" t="inlineStr">
        <is>
          <t>Page16.NameBroadMedia2</t>
        </is>
      </c>
      <c r="B653" s="2" t="inlineStr">
        <is>
          <t>Page16</t>
        </is>
      </c>
      <c r="C653" s="2" t="inlineStr">
        <is>
          <t>textEdit</t>
        </is>
      </c>
      <c r="D653" s="2" t="inlineStr">
        <is>
          <t>text</t>
        </is>
      </c>
      <c r="E653" s="2" t="inlineStr"/>
      <c r="F653" s="2" t="inlineStr">
        <is>
          <t>30</t>
        </is>
      </c>
      <c r="G653" s="2" t="inlineStr"/>
      <c r="H653" s="2" t="inlineStr"/>
      <c r="I653" s="2" t="inlineStr">
        <is>
          <t>Editable</t>
        </is>
      </c>
      <c r="J653" s="2" t="inlineStr"/>
      <c r="K653" s="2" t="inlineStr"/>
      <c r="L653" s="2" t="inlineStr"/>
      <c r="M653" s="2" t="inlineStr"/>
    </row>
    <row r="654">
      <c r="A654" s="2" t="inlineStr">
        <is>
          <t>Page16.NameBroadMedia3</t>
        </is>
      </c>
      <c r="B654" s="2" t="inlineStr">
        <is>
          <t>Page16</t>
        </is>
      </c>
      <c r="C654" s="2" t="inlineStr">
        <is>
          <t>textEdit</t>
        </is>
      </c>
      <c r="D654" s="2" t="inlineStr">
        <is>
          <t>text</t>
        </is>
      </c>
      <c r="E654" s="2" t="inlineStr"/>
      <c r="F654" s="2" t="inlineStr">
        <is>
          <t>30</t>
        </is>
      </c>
      <c r="G654" s="2" t="inlineStr"/>
      <c r="H654" s="2" t="inlineStr"/>
      <c r="I654" s="2" t="inlineStr">
        <is>
          <t>Editable</t>
        </is>
      </c>
      <c r="J654" s="2" t="inlineStr"/>
      <c r="K654" s="2" t="inlineStr"/>
      <c r="L654" s="2" t="inlineStr"/>
      <c r="M654" s="2" t="inlineStr"/>
    </row>
    <row r="655">
      <c r="A655" s="2" t="inlineStr">
        <is>
          <t>Page17.SOne2</t>
        </is>
      </c>
      <c r="B655" s="2" t="inlineStr">
        <is>
          <t>Page17</t>
        </is>
      </c>
      <c r="C655" s="2" t="inlineStr">
        <is>
          <t>numericEdit</t>
        </is>
      </c>
      <c r="D655" s="2" t="inlineStr">
        <is>
          <t>decimal</t>
        </is>
      </c>
      <c r="E655" s="2" t="inlineStr">
        <is>
          <t>14</t>
        </is>
      </c>
      <c r="F655" s="2" t="inlineStr"/>
      <c r="G655" s="2" t="inlineStr">
        <is>
          <t>num{zzzzzzzzzzzzzz9.99}</t>
        </is>
      </c>
      <c r="H655" s="2" t="inlineStr">
        <is>
          <t>num{zzzzzzzzzzzzzz9.99}</t>
        </is>
      </c>
      <c r="I655" s="2" t="inlineStr">
        <is>
          <t>Editable</t>
        </is>
      </c>
      <c r="J655" s="2" t="inlineStr"/>
      <c r="K655" s="2" t="inlineStr"/>
      <c r="L655" s="2" t="inlineStr"/>
      <c r="M655" s="2" t="inlineStr"/>
    </row>
    <row r="656">
      <c r="A656" s="2" t="inlineStr">
        <is>
          <t>Page17.SOne3</t>
        </is>
      </c>
      <c r="B656" s="2" t="inlineStr">
        <is>
          <t>Page17</t>
        </is>
      </c>
      <c r="C656" s="2" t="inlineStr">
        <is>
          <t>numericEdit</t>
        </is>
      </c>
      <c r="D656" s="2" t="inlineStr">
        <is>
          <t>decimal</t>
        </is>
      </c>
      <c r="E656" s="2" t="inlineStr">
        <is>
          <t>14</t>
        </is>
      </c>
      <c r="F656" s="2" t="inlineStr"/>
      <c r="G656" s="2" t="inlineStr">
        <is>
          <t>num{zzzzzzzzzzzzzz9.99}</t>
        </is>
      </c>
      <c r="H656" s="2" t="inlineStr">
        <is>
          <t>num{zzzzzzzzzzzzzz9.99}</t>
        </is>
      </c>
      <c r="I656" s="2" t="inlineStr">
        <is>
          <t>Read-only</t>
        </is>
      </c>
      <c r="J656" s="2" t="inlineStr">
        <is>
          <t>Yes</t>
        </is>
      </c>
      <c r="K656" s="2" t="inlineStr"/>
      <c r="L656" s="2" t="inlineStr"/>
      <c r="M656" s="2" t="inlineStr"/>
    </row>
    <row r="657">
      <c r="A657" s="2" t="inlineStr">
        <is>
          <t>Page17.SOne4</t>
        </is>
      </c>
      <c r="B657" s="2" t="inlineStr">
        <is>
          <t>Page17</t>
        </is>
      </c>
      <c r="C657" s="2" t="inlineStr">
        <is>
          <t>numericEdit</t>
        </is>
      </c>
      <c r="D657" s="2" t="inlineStr">
        <is>
          <t>decimal</t>
        </is>
      </c>
      <c r="E657" s="2" t="inlineStr">
        <is>
          <t>14</t>
        </is>
      </c>
      <c r="F657" s="2" t="inlineStr"/>
      <c r="G657" s="2" t="inlineStr">
        <is>
          <t>num{zzzzzzzzzzzzzz9.99}</t>
        </is>
      </c>
      <c r="H657" s="2" t="inlineStr">
        <is>
          <t>num{zzzzzzzzzzzzzz9.99}</t>
        </is>
      </c>
      <c r="I657" s="2" t="inlineStr">
        <is>
          <t>Editable</t>
        </is>
      </c>
      <c r="J657" s="2" t="inlineStr"/>
      <c r="K657" s="2" t="inlineStr"/>
      <c r="L657" s="2" t="inlineStr"/>
      <c r="M657" s="2" t="inlineStr"/>
    </row>
    <row r="658">
      <c r="A658" s="2" t="inlineStr">
        <is>
          <t>Page17.SOne5</t>
        </is>
      </c>
      <c r="B658" s="2" t="inlineStr">
        <is>
          <t>Page17</t>
        </is>
      </c>
      <c r="C658" s="2" t="inlineStr">
        <is>
          <t>numericEdit</t>
        </is>
      </c>
      <c r="D658" s="2" t="inlineStr">
        <is>
          <t>decimal</t>
        </is>
      </c>
      <c r="E658" s="2" t="inlineStr">
        <is>
          <t>14</t>
        </is>
      </c>
      <c r="F658" s="2" t="inlineStr"/>
      <c r="G658" s="2" t="inlineStr">
        <is>
          <t>num{zzzzzzzzzzzzzz9.99}</t>
        </is>
      </c>
      <c r="H658" s="2" t="inlineStr">
        <is>
          <t>num{zzzzzzzzzzzzzz9.99}</t>
        </is>
      </c>
      <c r="I658" s="2" t="inlineStr">
        <is>
          <t>Editable</t>
        </is>
      </c>
      <c r="J658" s="2" t="inlineStr"/>
      <c r="K658" s="2" t="inlineStr"/>
      <c r="L658" s="2" t="inlineStr"/>
      <c r="M658" s="2" t="inlineStr"/>
    </row>
    <row r="659">
      <c r="A659" s="2" t="inlineStr">
        <is>
          <t>Page17.SOne6</t>
        </is>
      </c>
      <c r="B659" s="2" t="inlineStr">
        <is>
          <t>Page17</t>
        </is>
      </c>
      <c r="C659" s="2" t="inlineStr">
        <is>
          <t>numericEdit</t>
        </is>
      </c>
      <c r="D659" s="2" t="inlineStr">
        <is>
          <t>decimal</t>
        </is>
      </c>
      <c r="E659" s="2" t="inlineStr">
        <is>
          <t>14</t>
        </is>
      </c>
      <c r="F659" s="2" t="inlineStr"/>
      <c r="G659" s="2" t="inlineStr">
        <is>
          <t>num{zzzzzzzzzzzzzz9.99}</t>
        </is>
      </c>
      <c r="H659" s="2" t="inlineStr">
        <is>
          <t>num{zzzzzzzzzzzzzz9.99}</t>
        </is>
      </c>
      <c r="I659" s="2" t="inlineStr">
        <is>
          <t>Editable</t>
        </is>
      </c>
      <c r="J659" s="2" t="inlineStr"/>
      <c r="K659" s="2" t="inlineStr"/>
      <c r="L659" s="2" t="inlineStr"/>
      <c r="M659" s="2" t="inlineStr"/>
    </row>
    <row r="660">
      <c r="A660" s="2" t="inlineStr">
        <is>
          <t>Page17.SOne7</t>
        </is>
      </c>
      <c r="B660" s="2" t="inlineStr">
        <is>
          <t>Page17</t>
        </is>
      </c>
      <c r="C660" s="2" t="inlineStr">
        <is>
          <t>numericEdit</t>
        </is>
      </c>
      <c r="D660" s="2" t="inlineStr">
        <is>
          <t>decimal</t>
        </is>
      </c>
      <c r="E660" s="2" t="inlineStr">
        <is>
          <t>14</t>
        </is>
      </c>
      <c r="F660" s="2" t="inlineStr"/>
      <c r="G660" s="2" t="inlineStr">
        <is>
          <t>num{zzzzzzzzzzzzzz9.99}</t>
        </is>
      </c>
      <c r="H660" s="2" t="inlineStr">
        <is>
          <t>num{zzzzzzzzzzzzzz9.99}</t>
        </is>
      </c>
      <c r="I660" s="2" t="inlineStr">
        <is>
          <t>Editable</t>
        </is>
      </c>
      <c r="J660" s="2" t="inlineStr"/>
      <c r="K660" s="2" t="inlineStr"/>
      <c r="L660" s="2" t="inlineStr"/>
      <c r="M660" s="2" t="inlineStr"/>
    </row>
    <row r="661">
      <c r="A661" s="2" t="inlineStr">
        <is>
          <t>Page17.SOne8</t>
        </is>
      </c>
      <c r="B661" s="2" t="inlineStr">
        <is>
          <t>Page17</t>
        </is>
      </c>
      <c r="C661" s="2" t="inlineStr">
        <is>
          <t>numericEdit</t>
        </is>
      </c>
      <c r="D661" s="2" t="inlineStr">
        <is>
          <t>decimal</t>
        </is>
      </c>
      <c r="E661" s="2" t="inlineStr">
        <is>
          <t>14</t>
        </is>
      </c>
      <c r="F661" s="2" t="inlineStr"/>
      <c r="G661" s="2" t="inlineStr">
        <is>
          <t>num{zzzzzzzzzzzzzz9.99}</t>
        </is>
      </c>
      <c r="H661" s="2" t="inlineStr">
        <is>
          <t>num{zzzzzzzzzzzzzz9.99}</t>
        </is>
      </c>
      <c r="I661" s="2" t="inlineStr">
        <is>
          <t>Editable</t>
        </is>
      </c>
      <c r="J661" s="2" t="inlineStr"/>
      <c r="K661" s="2" t="inlineStr"/>
      <c r="L661" s="2" t="inlineStr"/>
      <c r="M661" s="2" t="inlineStr"/>
    </row>
    <row r="662">
      <c r="A662" s="2" t="inlineStr">
        <is>
          <t>Page17.SOne9</t>
        </is>
      </c>
      <c r="B662" s="2" t="inlineStr">
        <is>
          <t>Page17</t>
        </is>
      </c>
      <c r="C662" s="2" t="inlineStr">
        <is>
          <t>numericEdit</t>
        </is>
      </c>
      <c r="D662" s="2" t="inlineStr">
        <is>
          <t>decimal</t>
        </is>
      </c>
      <c r="E662" s="2" t="inlineStr">
        <is>
          <t>14</t>
        </is>
      </c>
      <c r="F662" s="2" t="inlineStr"/>
      <c r="G662" s="2" t="inlineStr">
        <is>
          <t>num{zzzzzzzzzzzzzz9.99}</t>
        </is>
      </c>
      <c r="H662" s="2" t="inlineStr">
        <is>
          <t>num{zzzzzzzzzzzzzz9.99}</t>
        </is>
      </c>
      <c r="I662" s="2" t="inlineStr">
        <is>
          <t>Editable</t>
        </is>
      </c>
      <c r="J662" s="2" t="inlineStr"/>
      <c r="K662" s="2" t="inlineStr"/>
      <c r="L662" s="2" t="inlineStr"/>
      <c r="M662" s="2" t="inlineStr"/>
    </row>
    <row r="663">
      <c r="A663" s="2" t="inlineStr">
        <is>
          <t>Page17.SOne10</t>
        </is>
      </c>
      <c r="B663" s="2" t="inlineStr">
        <is>
          <t>Page17</t>
        </is>
      </c>
      <c r="C663" s="2" t="inlineStr">
        <is>
          <t>numericEdit</t>
        </is>
      </c>
      <c r="D663" s="2" t="inlineStr">
        <is>
          <t>decimal</t>
        </is>
      </c>
      <c r="E663" s="2" t="inlineStr">
        <is>
          <t>14</t>
        </is>
      </c>
      <c r="F663" s="2" t="inlineStr"/>
      <c r="G663" s="2" t="inlineStr">
        <is>
          <t>num{zzzzzzzzzzzzzz9.99}</t>
        </is>
      </c>
      <c r="H663" s="2" t="inlineStr">
        <is>
          <t>num{zzzzzzzzzzzzzz9.99}</t>
        </is>
      </c>
      <c r="I663" s="2" t="inlineStr">
        <is>
          <t>Editable</t>
        </is>
      </c>
      <c r="J663" s="2" t="inlineStr"/>
      <c r="K663" s="2" t="inlineStr"/>
      <c r="L663" s="2" t="inlineStr"/>
      <c r="M663" s="2" t="inlineStr"/>
    </row>
    <row r="664">
      <c r="A664" s="2" t="inlineStr">
        <is>
          <t>Page17.SOne11</t>
        </is>
      </c>
      <c r="B664" s="2" t="inlineStr">
        <is>
          <t>Page17</t>
        </is>
      </c>
      <c r="C664" s="2" t="inlineStr">
        <is>
          <t>numericEdit</t>
        </is>
      </c>
      <c r="D664" s="2" t="inlineStr">
        <is>
          <t>decimal</t>
        </is>
      </c>
      <c r="E664" s="2" t="inlineStr">
        <is>
          <t>14</t>
        </is>
      </c>
      <c r="F664" s="2" t="inlineStr"/>
      <c r="G664" s="2" t="inlineStr">
        <is>
          <t>num{zzzzzzzzzzzzzz9.99}</t>
        </is>
      </c>
      <c r="H664" s="2" t="inlineStr">
        <is>
          <t>num{zzzzzzzzzzzzzz9.99}</t>
        </is>
      </c>
      <c r="I664" s="2" t="inlineStr">
        <is>
          <t>Editable</t>
        </is>
      </c>
      <c r="J664" s="2" t="inlineStr"/>
      <c r="K664" s="2" t="inlineStr"/>
      <c r="L664" s="2" t="inlineStr"/>
      <c r="M664" s="2" t="inlineStr"/>
    </row>
    <row r="665">
      <c r="A665" s="2" t="inlineStr">
        <is>
          <t>Page17.SOne12</t>
        </is>
      </c>
      <c r="B665" s="2" t="inlineStr">
        <is>
          <t>Page17</t>
        </is>
      </c>
      <c r="C665" s="2" t="inlineStr">
        <is>
          <t>numericEdit</t>
        </is>
      </c>
      <c r="D665" s="2" t="inlineStr">
        <is>
          <t>decimal</t>
        </is>
      </c>
      <c r="E665" s="2" t="inlineStr">
        <is>
          <t>14</t>
        </is>
      </c>
      <c r="F665" s="2" t="inlineStr"/>
      <c r="G665" s="2" t="inlineStr">
        <is>
          <t>num{zzzzzzzzzzzzzz9.99}</t>
        </is>
      </c>
      <c r="H665" s="2" t="inlineStr">
        <is>
          <t>num{zzzzzzzzzzzzzz9.99}</t>
        </is>
      </c>
      <c r="I665" s="2" t="inlineStr">
        <is>
          <t>Editable</t>
        </is>
      </c>
      <c r="J665" s="2" t="inlineStr"/>
      <c r="K665" s="2" t="inlineStr"/>
      <c r="L665" s="2" t="inlineStr"/>
      <c r="M665" s="2" t="inlineStr"/>
    </row>
    <row r="666">
      <c r="A666" s="2" t="inlineStr">
        <is>
          <t>Page17.SOne13</t>
        </is>
      </c>
      <c r="B666" s="2" t="inlineStr">
        <is>
          <t>Page17</t>
        </is>
      </c>
      <c r="C666" s="2" t="inlineStr">
        <is>
          <t>numericEdit</t>
        </is>
      </c>
      <c r="D666" s="2" t="inlineStr">
        <is>
          <t>decimal</t>
        </is>
      </c>
      <c r="E666" s="2" t="inlineStr">
        <is>
          <t>14</t>
        </is>
      </c>
      <c r="F666" s="2" t="inlineStr"/>
      <c r="G666" s="2" t="inlineStr">
        <is>
          <t>num{zzzzzzzzzzzzzz9.99}</t>
        </is>
      </c>
      <c r="H666" s="2" t="inlineStr">
        <is>
          <t>num{zzzzzzzzzzzzzz9.99}</t>
        </is>
      </c>
      <c r="I666" s="2" t="inlineStr">
        <is>
          <t>Editable</t>
        </is>
      </c>
      <c r="J666" s="2" t="inlineStr"/>
      <c r="K666" s="2" t="inlineStr"/>
      <c r="L666" s="2" t="inlineStr"/>
      <c r="M666" s="2" t="inlineStr"/>
    </row>
    <row r="667">
      <c r="A667" s="2" t="inlineStr">
        <is>
          <t>Page17.SOne14</t>
        </is>
      </c>
      <c r="B667" s="2" t="inlineStr">
        <is>
          <t>Page17</t>
        </is>
      </c>
      <c r="C667" s="2" t="inlineStr">
        <is>
          <t>numericEdit</t>
        </is>
      </c>
      <c r="D667" s="2" t="inlineStr">
        <is>
          <t>decimal</t>
        </is>
      </c>
      <c r="E667" s="2" t="inlineStr">
        <is>
          <t>14</t>
        </is>
      </c>
      <c r="F667" s="2" t="inlineStr"/>
      <c r="G667" s="2" t="inlineStr">
        <is>
          <t>num{zzzzzzzzzzzzzz9.99}</t>
        </is>
      </c>
      <c r="H667" s="2" t="inlineStr">
        <is>
          <t>num{zzzzzzzzzzzzzz9.99}</t>
        </is>
      </c>
      <c r="I667" s="2" t="inlineStr">
        <is>
          <t>Editable</t>
        </is>
      </c>
      <c r="J667" s="2" t="inlineStr"/>
      <c r="K667" s="2" t="inlineStr"/>
      <c r="L667" s="2" t="inlineStr"/>
      <c r="M667" s="2" t="inlineStr"/>
    </row>
    <row r="668">
      <c r="A668" s="2" t="inlineStr">
        <is>
          <t>Page17.SOne15</t>
        </is>
      </c>
      <c r="B668" s="2" t="inlineStr">
        <is>
          <t>Page17</t>
        </is>
      </c>
      <c r="C668" s="2" t="inlineStr">
        <is>
          <t>numericEdit</t>
        </is>
      </c>
      <c r="D668" s="2" t="inlineStr">
        <is>
          <t>decimal</t>
        </is>
      </c>
      <c r="E668" s="2" t="inlineStr">
        <is>
          <t>14</t>
        </is>
      </c>
      <c r="F668" s="2" t="inlineStr"/>
      <c r="G668" s="2" t="inlineStr">
        <is>
          <t>num{zzzzzzzzzzzzzz9.99}</t>
        </is>
      </c>
      <c r="H668" s="2" t="inlineStr">
        <is>
          <t>num{zzzzzzzzzzzzzz9.99}</t>
        </is>
      </c>
      <c r="I668" s="2" t="inlineStr">
        <is>
          <t>Editable</t>
        </is>
      </c>
      <c r="J668" s="2" t="inlineStr"/>
      <c r="K668" s="2" t="inlineStr"/>
      <c r="L668" s="2" t="inlineStr"/>
      <c r="M668" s="2" t="inlineStr"/>
    </row>
    <row r="669">
      <c r="A669" s="2" t="inlineStr">
        <is>
          <t>Page17.SOne16</t>
        </is>
      </c>
      <c r="B669" s="2" t="inlineStr">
        <is>
          <t>Page17</t>
        </is>
      </c>
      <c r="C669" s="2" t="inlineStr">
        <is>
          <t>numericEdit</t>
        </is>
      </c>
      <c r="D669" s="2" t="inlineStr">
        <is>
          <t>decimal</t>
        </is>
      </c>
      <c r="E669" s="2" t="inlineStr">
        <is>
          <t>14</t>
        </is>
      </c>
      <c r="F669" s="2" t="inlineStr"/>
      <c r="G669" s="2" t="inlineStr">
        <is>
          <t>num{zzzzzzzzzzzzzz9.99}</t>
        </is>
      </c>
      <c r="H669" s="2" t="inlineStr">
        <is>
          <t>num{zzzzzzzzzzzzzz9.99}</t>
        </is>
      </c>
      <c r="I669" s="2" t="inlineStr">
        <is>
          <t>Read-only</t>
        </is>
      </c>
      <c r="J669" s="2" t="inlineStr">
        <is>
          <t>Yes</t>
        </is>
      </c>
      <c r="K669" s="2" t="inlineStr"/>
      <c r="L669" s="2" t="inlineStr"/>
      <c r="M669" s="2" t="inlineStr"/>
    </row>
    <row r="670">
      <c r="A670" s="2" t="inlineStr">
        <is>
          <t>Page17.SOne17</t>
        </is>
      </c>
      <c r="B670" s="2" t="inlineStr">
        <is>
          <t>Page17</t>
        </is>
      </c>
      <c r="C670" s="2" t="inlineStr">
        <is>
          <t>numericEdit</t>
        </is>
      </c>
      <c r="D670" s="2" t="inlineStr">
        <is>
          <t>decimal</t>
        </is>
      </c>
      <c r="E670" s="2" t="inlineStr">
        <is>
          <t>14</t>
        </is>
      </c>
      <c r="F670" s="2" t="inlineStr"/>
      <c r="G670" s="2" t="inlineStr">
        <is>
          <t>num{zzzzzzzzzzzzzz9.99}</t>
        </is>
      </c>
      <c r="H670" s="2" t="inlineStr">
        <is>
          <t>num{zzzzzzzzzzzzzz9.99}</t>
        </is>
      </c>
      <c r="I670" s="2" t="inlineStr">
        <is>
          <t>Read-only</t>
        </is>
      </c>
      <c r="J670" s="2" t="inlineStr">
        <is>
          <t>Yes</t>
        </is>
      </c>
      <c r="K670" s="2" t="inlineStr"/>
      <c r="L670" s="2" t="inlineStr"/>
      <c r="M670" s="2" t="inlineStr"/>
    </row>
    <row r="671">
      <c r="A671" s="2" t="inlineStr">
        <is>
          <t>Page17.SOne18</t>
        </is>
      </c>
      <c r="B671" s="2" t="inlineStr">
        <is>
          <t>Page17</t>
        </is>
      </c>
      <c r="C671" s="2" t="inlineStr">
        <is>
          <t>numericEdit</t>
        </is>
      </c>
      <c r="D671" s="2" t="inlineStr">
        <is>
          <t>decimal</t>
        </is>
      </c>
      <c r="E671" s="2" t="inlineStr">
        <is>
          <t>14</t>
        </is>
      </c>
      <c r="F671" s="2" t="inlineStr"/>
      <c r="G671" s="2" t="inlineStr">
        <is>
          <t>num{zzzzzzzzzzzzzz9.99}</t>
        </is>
      </c>
      <c r="H671" s="2" t="inlineStr">
        <is>
          <t>num{zzzzzzzzzzzzzz9.99}</t>
        </is>
      </c>
      <c r="I671" s="2" t="inlineStr">
        <is>
          <t>Editable</t>
        </is>
      </c>
      <c r="J671" s="2" t="inlineStr"/>
      <c r="K671" s="2" t="inlineStr"/>
      <c r="L671" s="2" t="inlineStr"/>
      <c r="M671" s="2" t="inlineStr"/>
    </row>
    <row r="672">
      <c r="A672" s="2" t="inlineStr">
        <is>
          <t>Page17.SOne19</t>
        </is>
      </c>
      <c r="B672" s="2" t="inlineStr">
        <is>
          <t>Page17</t>
        </is>
      </c>
      <c r="C672" s="2" t="inlineStr">
        <is>
          <t>numericEdit</t>
        </is>
      </c>
      <c r="D672" s="2" t="inlineStr">
        <is>
          <t>decimal</t>
        </is>
      </c>
      <c r="E672" s="2" t="inlineStr">
        <is>
          <t>14</t>
        </is>
      </c>
      <c r="F672" s="2" t="inlineStr"/>
      <c r="G672" s="2" t="inlineStr">
        <is>
          <t>num{zzzzzzzzzzzzzz9.99}</t>
        </is>
      </c>
      <c r="H672" s="2" t="inlineStr">
        <is>
          <t>num{zzzzzzzzzzzzzz9.99}</t>
        </is>
      </c>
      <c r="I672" s="2" t="inlineStr">
        <is>
          <t>Read-only</t>
        </is>
      </c>
      <c r="J672" s="2" t="inlineStr">
        <is>
          <t>Yes</t>
        </is>
      </c>
      <c r="K672" s="2" t="inlineStr"/>
      <c r="L672" s="2" t="inlineStr"/>
      <c r="M672" s="2" t="inlineStr"/>
    </row>
    <row r="673">
      <c r="A673" s="2" t="inlineStr">
        <is>
          <t>Page17.SOne1</t>
        </is>
      </c>
      <c r="B673" s="2" t="inlineStr">
        <is>
          <t>Page17</t>
        </is>
      </c>
      <c r="C673" s="2" t="inlineStr">
        <is>
          <t>numericEdit</t>
        </is>
      </c>
      <c r="D673" s="2" t="inlineStr">
        <is>
          <t>decimal</t>
        </is>
      </c>
      <c r="E673" s="2" t="inlineStr">
        <is>
          <t>14</t>
        </is>
      </c>
      <c r="F673" s="2" t="inlineStr"/>
      <c r="G673" s="2" t="inlineStr">
        <is>
          <t>num{zzzzzzzzzzzzzz9.99}</t>
        </is>
      </c>
      <c r="H673" s="2" t="inlineStr">
        <is>
          <t>num{zzzzzzzzzzzzzz9.99}</t>
        </is>
      </c>
      <c r="I673" s="2" t="inlineStr">
        <is>
          <t>Editable</t>
        </is>
      </c>
      <c r="J673" s="2" t="inlineStr"/>
      <c r="K673" s="2" t="inlineStr"/>
      <c r="L673" s="2" t="inlineStr"/>
      <c r="M673" s="2" t="inlineStr"/>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xmlns:r="http://schemas.openxmlformats.org/officeDocument/2006/relationships">
  <sheetPr>
    <outlinePr summaryBelow="1" summaryRight="1"/>
    <pageSetUpPr/>
  </sheetPr>
  <dimension ref="A1:J3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7" customWidth="1" min="1" max="1"/>
    <col width="26" customWidth="1" min="2" max="2"/>
    <col width="34" customWidth="1" min="3" max="3"/>
    <col width="30" customWidth="1" min="4" max="4"/>
    <col width="34" customWidth="1" min="5" max="5"/>
    <col width="30" customWidth="1" min="6" max="6"/>
    <col width="50" customWidth="1" min="7" max="7"/>
    <col width="24" customWidth="1" min="8" max="8"/>
    <col width="16" customWidth="1" min="9" max="9"/>
    <col width="40" customWidth="1" min="10" max="10"/>
  </cols>
  <sheetData>
    <row r="1">
      <c r="A1" s="4" t="inlineStr">
        <is>
          <t xml:space="preserve">ID</t>
        </is>
      </c>
      <c r="B1" s="4" t="inlineStr">
        <is>
          <t xml:space="preserve">Portal screen/step</t>
        </is>
      </c>
      <c r="C1" s="4" t="inlineStr">
        <is>
          <t xml:space="preserve">Field</t>
        </is>
      </c>
      <c r="D1" s="4" t="inlineStr">
        <is>
          <t xml:space="preserve">Matching PDF section/box</t>
        </is>
      </c>
      <c r="E1" s="4" t="inlineStr">
        <is>
          <t xml:space="preserve">Required in portal</t>
        </is>
      </c>
      <c r="F1" s="4" t="inlineStr">
        <is>
          <t xml:space="preserve">Format/limit</t>
        </is>
      </c>
      <c r="G1" s="4" t="inlineStr">
        <is>
          <t xml:space="preserve">Exact error message</t>
        </is>
      </c>
      <c r="H1" s="4" t="inlineStr">
        <is>
          <t xml:space="preserve">How found</t>
        </is>
      </c>
      <c r="I1" s="4" t="inlineStr">
        <is>
          <t xml:space="preserve">PDF rule (from Rule register)</t>
        </is>
      </c>
      <c r="J1" s="4" t="inlineStr">
        <is>
          <t xml:space="preserve">Difference</t>
        </is>
      </c>
    </row>
    <row r="2">
      <c r="A2" s="2" t="inlineStr">
        <is>
          <t xml:space="preserve">P001</t>
        </is>
      </c>
      <c r="B2" s="2" t="inlineStr">
        <is>
          <t xml:space="preserve">Check and Calculate (server)</t>
        </is>
      </c>
      <c r="C2" s="2" t="inlineStr">
        <is>
          <t xml:space="preserve">Schedule 4 item 4.3(a) Loans from associates</t>
        </is>
      </c>
      <c r="D2" s="2" t="inlineStr">
        <is>
          <t xml:space="preserve">Not in PDF v26.1 (Schedule 4 is portal-only)</t>
        </is>
      </c>
      <c r="E2" s="2" t="inlineStr">
        <is>
          <t xml:space="preserve">Conditional: when Schedule 4 applies. Add at least one loan row, or tick 'did not receive any loans from associates' (A_SCH4_NO_LOANS_FROM_ASS_Checked).</t>
        </is>
      </c>
      <c r="F2" s="2" t="inlineStr">
        <is>
          <t xml:space="preserve">Grid row; tick box zeroes the requirement</t>
        </is>
      </c>
      <c r="G2" s="2" t="inlineStr">
        <is>
          <t xml:space="preserve">You must fill all boxes 4.3 (a) in Schedule 4</t>
        </is>
      </c>
      <c r="H2" s="2" t="inlineStr">
        <is>
          <t xml:space="preserve">Tested (Check and Calculate, 20 Oct 2026)</t>
        </is>
      </c>
      <c r="I2" s="2" t="inlineStr">
        <is>
          <t xml:space="preserve">-</t>
        </is>
      </c>
      <c r="J2" s="2" t="inlineStr">
        <is>
          <t xml:space="preserve">Portal-only mandatory item.</t>
        </is>
      </c>
    </row>
    <row r="3">
      <c r="A3" s="2" t="inlineStr">
        <is>
          <t xml:space="preserve">P002</t>
        </is>
      </c>
      <c r="B3" s="2" t="inlineStr">
        <is>
          <t xml:space="preserve">Check and Calculate (server)</t>
        </is>
      </c>
      <c r="C3" s="2" t="inlineStr">
        <is>
          <t xml:space="preserve">Schedule 4 item 4.3(b) Loans to associates</t>
        </is>
      </c>
      <c r="D3" s="2" t="inlineStr">
        <is>
          <t xml:space="preserve">Not in PDF v26.1 (Schedule 4 is portal-only)</t>
        </is>
      </c>
      <c r="E3" s="2" t="inlineStr">
        <is>
          <t xml:space="preserve">Conditional: when Schedule 4 applies. Add at least one loan row, or tick 'did not give any loans to associates' (A_SCH4_NO_LOANS_TO_ASS_Checked).</t>
        </is>
      </c>
      <c r="F3" s="2" t="inlineStr">
        <is>
          <t xml:space="preserve">Grid row; tick box zeroes the requirement</t>
        </is>
      </c>
      <c r="G3" s="2" t="inlineStr">
        <is>
          <t xml:space="preserve">You must fill all boxes 4.3 (b) in Schedule 4</t>
        </is>
      </c>
      <c r="H3" s="2" t="inlineStr">
        <is>
          <t xml:space="preserve">Tested (Check and Calculate, 20 Oct 2026)</t>
        </is>
      </c>
      <c r="I3" s="2" t="inlineStr">
        <is>
          <t xml:space="preserve">-</t>
        </is>
      </c>
      <c r="J3" s="2" t="inlineStr">
        <is>
          <t xml:space="preserve">Portal-only mandatory item.</t>
        </is>
      </c>
    </row>
    <row r="4">
      <c r="A4" s="2" t="inlineStr">
        <is>
          <t xml:space="preserve">P003</t>
        </is>
      </c>
      <c r="B4" s="2" t="inlineStr">
        <is>
          <t xml:space="preserve">Check and Calculate (server)</t>
        </is>
      </c>
      <c r="C4" s="2" t="inlineStr">
        <is>
          <t xml:space="preserve">II-b Functional currency, preceding tax year, options (a)-(d)</t>
        </is>
      </c>
      <c r="D4" s="2" t="inlineStr">
        <is>
          <t xml:space="preserve">II-b Functional currency (other years)</t>
        </is>
      </c>
      <c r="E4" s="2" t="inlineStr">
        <is>
          <t xml:space="preserve">Yes (fired on a non-first-year return)</t>
        </is>
      </c>
      <c r="F4" s="2" t="inlineStr">
        <is>
          <t xml:space="preserve">Single choice (a)-(d)</t>
        </is>
      </c>
      <c r="G4" s="2" t="inlineStr">
        <is>
          <t xml:space="preserve">Item (II-b) cannot be left blank. Please select check box (a), (b), (c) or (d).</t>
        </is>
      </c>
      <c r="H4" s="2" t="inlineStr">
        <is>
          <t xml:space="preserve">Tested (Check and Calculate, 20 Oct 2026)</t>
        </is>
      </c>
      <c r="I4" s="2" t="inlineStr">
        <is>
          <t xml:space="preserve">R037</t>
        </is>
      </c>
      <c r="J4" s="2" t="inlineStr">
        <is>
          <t xml:space="preserve">PDF: radio, not checked, can be blank. Portal: mandatory.</t>
        </is>
      </c>
    </row>
    <row r="5">
      <c r="A5" s="2" t="inlineStr">
        <is>
          <t xml:space="preserve">P004</t>
        </is>
      </c>
      <c r="B5" s="2" t="inlineStr">
        <is>
          <t xml:space="preserve">Check and Calculate (server)</t>
        </is>
      </c>
      <c r="C5" s="2" t="inlineStr">
        <is>
          <t xml:space="preserve">II-b Functional currency, this tax year, options (e)-(h)</t>
        </is>
      </c>
      <c r="D5" s="2" t="inlineStr">
        <is>
          <t xml:space="preserve">II-b Functional currency (other years)</t>
        </is>
      </c>
      <c r="E5" s="2" t="inlineStr">
        <is>
          <t xml:space="preserve">Conditional: if this is not the first tax year</t>
        </is>
      </c>
      <c r="F5" s="2" t="inlineStr">
        <is>
          <t xml:space="preserve">Single choice (e)-(h)</t>
        </is>
      </c>
      <c r="G5" s="2" t="inlineStr">
        <is>
          <t xml:space="preserve">Item (II-b) cannot be left blank if this is not your first tax year. Please select check box (e), (f), (g) or (h).</t>
        </is>
      </c>
      <c r="H5" s="2" t="inlineStr">
        <is>
          <t xml:space="preserve">Tested (Check and Calculate, 20 Oct 2026)</t>
        </is>
      </c>
      <c r="I5" s="2" t="inlineStr">
        <is>
          <t xml:space="preserve">R037</t>
        </is>
      </c>
      <c r="J5" s="2" t="inlineStr">
        <is>
          <t xml:space="preserve">PDF: not checked. Portal: mandatory for non-first years.</t>
        </is>
      </c>
    </row>
    <row r="6">
      <c r="A6" s="2" t="inlineStr">
        <is>
          <t xml:space="preserve">P005</t>
        </is>
      </c>
      <c r="B6" s="2" t="inlineStr">
        <is>
          <t xml:space="preserve">Check and Calculate (server)</t>
        </is>
      </c>
      <c r="C6" s="2" t="inlineStr">
        <is>
          <t xml:space="preserve">III Presentation currency</t>
        </is>
      </c>
      <c r="D6" s="2" t="inlineStr">
        <is>
          <t xml:space="preserve">III Presentation currency</t>
        </is>
      </c>
      <c r="E6" s="2" t="inlineStr">
        <is>
          <t xml:space="preserve">Yes</t>
        </is>
      </c>
      <c r="F6" s="2" t="inlineStr">
        <is>
          <t xml:space="preserve">Single choice: Rufiyaa / United States Dollar</t>
        </is>
      </c>
      <c r="G6" s="2" t="inlineStr">
        <is>
          <t xml:space="preserve">Please select the presentation currency</t>
        </is>
      </c>
      <c r="H6" s="2" t="inlineStr">
        <is>
          <t xml:space="preserve">Tested (Check and Calculate, 20 Oct 2026)</t>
        </is>
      </c>
      <c r="I6" s="2" t="inlineStr">
        <is>
          <t xml:space="preserve">R039</t>
        </is>
      </c>
      <c r="J6" s="2" t="inlineStr">
        <is>
          <t xml:space="preserve">PDF: radio, can be blank. Portal: mandatory.</t>
        </is>
      </c>
    </row>
    <row r="7">
      <c r="A7" s="2" t="inlineStr">
        <is>
          <t xml:space="preserve">P006</t>
        </is>
      </c>
      <c r="B7" s="2" t="inlineStr">
        <is>
          <t xml:space="preserve">Check and Calculate (server)</t>
        </is>
      </c>
      <c r="C7" s="2" t="inlineStr">
        <is>
          <t xml:space="preserve">XIII Bank accounts (at least one row)</t>
        </is>
      </c>
      <c r="D7" s="2" t="inlineStr">
        <is>
          <t xml:space="preserve">XIII Bank accounts</t>
        </is>
      </c>
      <c r="E7" s="2" t="inlineStr">
        <is>
          <t xml:space="preserve">Yes (observed for this return; exemptions, e.g. by taxpayer type, not visible)</t>
        </is>
      </c>
      <c r="F7" s="2" t="inlineStr">
        <is>
          <t xml:space="preserve">At least one row in the bank account table</t>
        </is>
      </c>
      <c r="G7" s="2" t="inlineStr">
        <is>
          <t xml:space="preserve">Item XIII on page 3 cannot be left blank. Please enter the details of bank accounts as required.</t>
        </is>
      </c>
      <c r="H7" s="2" t="inlineStr">
        <is>
          <t xml:space="preserve">Tested (Check and Calculate, 20 Oct 2026)</t>
        </is>
      </c>
      <c r="I7" s="2" t="inlineStr">
        <is>
          <t xml:space="preserve">R050</t>
        </is>
      </c>
      <c r="J7" s="2" t="inlineStr">
        <is>
          <t xml:space="preserve">PDF: free-text row, not checked. Portal: at least one bank account required.</t>
        </is>
      </c>
    </row>
    <row r="8">
      <c r="A8" s="2" t="inlineStr">
        <is>
          <t xml:space="preserve">P007</t>
        </is>
      </c>
      <c r="B8" s="2" t="inlineStr">
        <is>
          <t xml:space="preserve">Check and Calculate (server)</t>
        </is>
      </c>
      <c r="C8" s="2" t="inlineStr">
        <is>
          <t xml:space="preserve">Supporting documents: Directors' report upload</t>
        </is>
      </c>
      <c r="D8" s="2" t="inlineStr">
        <is>
          <t xml:space="preserve">Document checklist (Directors' report)</t>
        </is>
      </c>
      <c r="E8" s="2" t="inlineStr">
        <is>
          <t xml:space="preserve">Conditional (fired for this return; trigger not visible in page code, likely taxpayer type / audit opinion)</t>
        </is>
      </c>
      <c r="F8" s="2" t="inlineStr">
        <is>
          <t xml:space="preserve">PDF upload, document type 'Directors' Report'</t>
        </is>
      </c>
      <c r="G8" s="2" t="inlineStr">
        <is>
          <t xml:space="preserve">Please upload directors report</t>
        </is>
      </c>
      <c r="H8" s="2" t="inlineStr">
        <is>
          <t xml:space="preserve">Tested (Check and Calculate, 20 Oct 2026)</t>
        </is>
      </c>
      <c r="I8" s="2" t="inlineStr">
        <is>
          <t xml:space="preserve">R032</t>
        </is>
      </c>
      <c r="J8" s="2" t="inlineStr">
        <is>
          <t xml:space="preserve">PDF: a tick box only, not checked. Portal: the file must be uploaded.</t>
        </is>
      </c>
    </row>
    <row r="9">
      <c r="A9" s="2" t="inlineStr">
        <is>
          <t xml:space="preserve">P008</t>
        </is>
      </c>
      <c r="B9" s="2" t="inlineStr">
        <is>
          <t xml:space="preserve">Check and Calculate (server)</t>
        </is>
      </c>
      <c r="C9" s="2" t="inlineStr">
        <is>
          <t xml:space="preserve">Supporting documents: Auditor's report upload</t>
        </is>
      </c>
      <c r="D9" s="2" t="inlineStr">
        <is>
          <t xml:space="preserve">Document checklist (Audit report); IV Audit opinion</t>
        </is>
      </c>
      <c r="E9" s="2" t="inlineStr">
        <is>
          <t xml:space="preserve">Conditional (fired for this return; trigger not visible, likely audit opinion other than 'Not required to audit')</t>
        </is>
      </c>
      <c r="F9" s="2" t="inlineStr">
        <is>
          <t xml:space="preserve">PDF upload, document type 'Auditor's Report'; declaration tick that the report is for this tax year</t>
        </is>
      </c>
      <c r="G9" s="2" t="inlineStr">
        <is>
          <t xml:space="preserve">Please upload audit report</t>
        </is>
      </c>
      <c r="H9" s="2" t="inlineStr">
        <is>
          <t xml:space="preserve">Tested (Check and Calculate, 20 Oct 2026)</t>
        </is>
      </c>
      <c r="I9" s="2" t="inlineStr">
        <is>
          <t xml:space="preserve">R032, R040</t>
        </is>
      </c>
      <c r="J9" s="2" t="inlineStr">
        <is>
          <t xml:space="preserve">PDF: tick box only, no link to audit opinion. Portal: upload required.</t>
        </is>
      </c>
    </row>
    <row r="10">
      <c r="A10" s="2" t="inlineStr">
        <is>
          <t xml:space="preserve">P009</t>
        </is>
      </c>
      <c r="B10" s="2" t="inlineStr">
        <is>
          <t xml:space="preserve">Check and Calculate (server)</t>
        </is>
      </c>
      <c r="C10" s="2" t="inlineStr">
        <is>
          <t xml:space="preserve">Supporting documents: financial statements</t>
        </is>
      </c>
      <c r="D10" s="2" t="inlineStr">
        <is>
          <t xml:space="preserve">Document checklist (P&amp;L, financial position, cash flows, changes in equity, notes)</t>
        </is>
      </c>
      <c r="E10" s="2" t="inlineStr">
        <is>
          <t xml:space="preserve">Conditional (fired for this return)</t>
        </is>
      </c>
      <c r="F10" s="2" t="inlineStr">
        <is>
          <t xml:space="preserve">PDF upload as 'Other Supporting Documents'</t>
        </is>
      </c>
      <c r="G10" s="2" t="inlineStr">
        <is>
          <t xml:space="preserve">Please upload statement of comprehensive income, statement of cash flows, notes to the financial statements, statement of financial position and statement of changes in equity as other supporting documents</t>
        </is>
      </c>
      <c r="H10" s="2" t="inlineStr">
        <is>
          <t xml:space="preserve">Tested (Check and Calculate, 20 Oct 2026)</t>
        </is>
      </c>
      <c r="I10" s="2" t="inlineStr">
        <is>
          <t xml:space="preserve">R032</t>
        </is>
      </c>
      <c r="J10" s="2" t="inlineStr">
        <is>
          <t xml:space="preserve">PDF: tick boxes only. Portal: the files must be uploaded.</t>
        </is>
      </c>
    </row>
    <row r="11">
      <c r="A11" s="2" t="inlineStr">
        <is>
          <t xml:space="preserve">P010</t>
        </is>
      </c>
      <c r="B11" s="2" t="inlineStr">
        <is>
          <t xml:space="preserve">Check and Calculate (server)</t>
        </is>
      </c>
      <c r="C11" s="2" t="inlineStr">
        <is>
          <t xml:space="preserve">Declaration: Person to contact, contact number</t>
        </is>
      </c>
      <c r="D11" s="2" t="inlineStr">
        <is>
          <t xml:space="preserve">Declaration: Contact Number</t>
        </is>
      </c>
      <c r="E11" s="2" t="inlineStr">
        <is>
          <t xml:space="preserve">Yes</t>
        </is>
      </c>
      <c r="F11" s="2" t="inlineStr">
        <is>
          <t xml:space="preserve">Format not visible in page code</t>
        </is>
      </c>
      <c r="G11" s="2" t="inlineStr">
        <is>
          <t xml:space="preserve">Please enter contact number</t>
        </is>
      </c>
      <c r="H11" s="2" t="inlineStr">
        <is>
          <t xml:space="preserve">Tested (Check and Calculate, 20 Oct 2026)</t>
        </is>
      </c>
      <c r="I11" s="2" t="inlineStr">
        <is>
          <t xml:space="preserve">R028</t>
        </is>
      </c>
      <c r="J11" s="2" t="inlineStr">
        <is>
          <t xml:space="preserve">PDF: numeric only, not required. Portal: mandatory.</t>
        </is>
      </c>
    </row>
    <row r="12">
      <c r="A12" s="2" t="inlineStr">
        <is>
          <t xml:space="preserve">P011</t>
        </is>
      </c>
      <c r="B12" s="2" t="inlineStr">
        <is>
          <t xml:space="preserve">Check and Calculate / Submit (browser, before sending)</t>
        </is>
      </c>
      <c r="C12" s="2" t="inlineStr">
        <is>
          <t xml:space="preserve">Schedule 4 item 3A (A_SCH4_All_ASSOS_IR and A_SCH4_All_ASSOS_EP)</t>
        </is>
      </c>
      <c r="D12" s="2" t="inlineStr">
        <is>
          <t xml:space="preserve">Not in PDF v26.1</t>
        </is>
      </c>
      <c r="E12" s="2" t="inlineStr">
        <is>
          <t xml:space="preserve">Conditional: when Schedule 4 is showing</t>
        </is>
      </c>
      <c r="F12" s="2" t="inlineStr">
        <is>
          <t xml:space="preserve">Must not be blank; enter 0 if nothing to report (blank field outlined red)</t>
        </is>
      </c>
      <c r="G12" s="2" t="inlineStr">
        <is>
          <t xml:space="preserve">Item no 3A cannot be left blank; if there is no sale/purchase to report, then enter 0.</t>
        </is>
      </c>
      <c r="H12" s="2" t="inlineStr">
        <is>
          <t xml:space="preserve">Page code (mainPostBtn click handler)</t>
        </is>
      </c>
      <c r="I12" s="2" t="inlineStr">
        <is>
          <t xml:space="preserve">-</t>
        </is>
      </c>
      <c r="J12" s="2" t="inlineStr">
        <is>
          <t xml:space="preserve">Portal-only. A browser alert stops the form being sent.</t>
        </is>
      </c>
    </row>
    <row r="13">
      <c r="A13" s="2" t="inlineStr">
        <is>
          <t xml:space="preserve">P012</t>
        </is>
      </c>
      <c r="B13" s="2" t="inlineStr">
        <is>
          <t xml:space="preserve">Whole form (browser)</t>
        </is>
      </c>
      <c r="C13" s="2" t="inlineStr">
        <is>
          <t xml:space="preserve">When Schedule 4 is shown</t>
        </is>
      </c>
      <c r="D13" s="2" t="inlineStr">
        <is>
          <t xml:space="preserve">Section A boxes 1-5, 9 vs 11, 12, 14, 17, 18, 21, 51</t>
        </is>
      </c>
      <c r="E13" s="2" t="inlineStr">
        <is>
          <t xml:space="preserve">Rule: hidden only if just remuneration boxes (1-5, 9) have values and boxes 11, 12, 14, 17, 18, 21, 51 are all empty; shown otherwise (including all Section B filers)</t>
        </is>
      </c>
      <c r="F13" s="2" t="inlineStr">
        <is>
          <t xml:space="preserve">Display rule</t>
        </is>
      </c>
      <c r="G13" s="2" t="inlineStr">
        <is>
          <t xml:space="preserve">(none)</t>
        </is>
      </c>
      <c r="H13" s="2" t="inlineStr">
        <is>
          <t xml:space="preserve">Page code (toggleSchedule4)</t>
        </is>
      </c>
      <c r="I13" s="2" t="inlineStr">
        <is>
          <t xml:space="preserve">-</t>
        </is>
      </c>
      <c r="J13" s="2" t="inlineStr">
        <is>
          <t xml:space="preserve">Decides when P001, P002, P011 apply. Not in PDF.</t>
        </is>
      </c>
    </row>
    <row r="14">
      <c r="A14" s="2" t="inlineStr">
        <is>
          <t xml:space="preserve">P013</t>
        </is>
      </c>
      <c r="B14" s="2" t="inlineStr">
        <is>
          <t xml:space="preserve">Submit (browser)</t>
        </is>
      </c>
      <c r="C14" s="2" t="inlineStr">
        <is>
          <t xml:space="preserve">Offence-warning acknowledgement in the Submit pop-up</t>
        </is>
      </c>
      <c r="D14" s="2" t="inlineStr">
        <is>
          <t xml:space="preserve">Declaration / IMPORTANT notice</t>
        </is>
      </c>
      <c r="E14" s="2" t="inlineStr">
        <is>
          <t xml:space="preserve">Yes: Submit stays disabled until ticked</t>
        </is>
      </c>
      <c r="F14" s="2" t="inlineStr">
        <is>
          <t xml:space="preserve">Tick box (HasAcknowledgedTaxDeclarationOffenceWarning)</t>
        </is>
      </c>
      <c r="G14" s="2" t="inlineStr">
        <is>
          <t xml:space="preserve">(no message; button disabled)</t>
        </is>
      </c>
      <c r="H14" s="2" t="inlineStr">
        <is>
          <t xml:space="preserve">Page code (submitConfirmationModal)</t>
        </is>
      </c>
      <c r="I14" s="2" t="inlineStr">
        <is>
          <t xml:space="preserve">-</t>
        </is>
      </c>
      <c r="J14" s="2" t="inlineStr">
        <is>
          <t xml:space="preserve">Portal-only step. Not tested (Submit not pressed).</t>
        </is>
      </c>
    </row>
    <row r="15">
      <c r="A15" s="2" t="inlineStr">
        <is>
          <t xml:space="preserve">P014</t>
        </is>
      </c>
      <c r="B15" s="2" t="inlineStr">
        <is>
          <t xml:space="preserve">Header / Section VIII (browser)</t>
        </is>
      </c>
      <c r="C15" s="2" t="inlineStr">
        <is>
          <t xml:space="preserve">Non-resident shipping/aircraft operator: 'did not derive s.11(r) income' confirmation</t>
        </is>
      </c>
      <c r="D15" s="2" t="inlineStr">
        <is>
          <t xml:space="preserve">VIII Section 11(r) only?; Boxes 204-215</t>
        </is>
      </c>
      <c r="E15" s="2" t="inlineStr">
        <is>
          <t xml:space="preserve">Conditional: non-resident shipping/aircraft operator (entity type 5)</t>
        </is>
      </c>
      <c r="F15" s="2" t="inlineStr">
        <is>
          <t xml:space="preserve">Tick box A_NO_S11R_INC_CONFIRM_Checked mirrored in a pop-up</t>
        </is>
      </c>
      <c r="G15" s="2" t="inlineStr">
        <is>
          <t xml:space="preserve">You are a non-resident shipping/aircraft operator. Please indicate in the Box below that you did not derive any income as specified in s.11(r) of the Income Tax Act. If you did derive such income, you must complete Boxes 204 to 215</t>
        </is>
      </c>
      <c r="H15" s="2" t="inlineStr">
        <is>
          <t xml:space="preserve">Page code (nonResShipConfirmModal)</t>
        </is>
      </c>
      <c r="I15" s="2" t="inlineStr">
        <is>
          <t xml:space="preserve">R045</t>
        </is>
      </c>
      <c r="J15" s="2" t="inlineStr">
        <is>
          <t xml:space="preserve">Portal adds an explicit confirmation. Whether the server enforces it was not tested.</t>
        </is>
      </c>
    </row>
    <row r="16">
      <c r="A16" s="2" t="inlineStr">
        <is>
          <t xml:space="preserve">P015</t>
        </is>
      </c>
      <c r="B16" s="2" t="inlineStr">
        <is>
          <t xml:space="preserve">Section A / B deductions (browser)</t>
        </is>
      </c>
      <c r="C16" s="2" t="inlineStr">
        <is>
          <t xml:space="preserve">Box 27 / Box 155 Donations</t>
        </is>
      </c>
      <c r="D16" s="2" t="inlineStr">
        <is>
          <t xml:space="preserve">Boxes 27, 155</t>
        </is>
      </c>
      <c r="E16" s="2" t="inlineStr">
        <is>
          <t xml:space="preserve">Not typed: filled from the Statement of Donations table</t>
        </is>
      </c>
      <c r="F16" s="2" t="inlineStr">
        <is>
          <t xml:space="preserve">Typing resets the box to 0 and opens the donations table</t>
        </is>
      </c>
      <c r="G16" s="2" t="inlineStr">
        <is>
          <t xml:space="preserve">This value will be auto populated from statement of donations table. Please scroll down and fill the statement of donations table.</t>
        </is>
      </c>
      <c r="H16" s="2" t="inlineStr">
        <is>
          <t xml:space="preserve">Page code (A_A_DED_DONATIONS input handler)</t>
        </is>
      </c>
      <c r="I16" s="2" t="inlineStr">
        <is>
          <t xml:space="preserve">R072, R133</t>
        </is>
      </c>
      <c r="J16" s="2" t="inlineStr">
        <is>
          <t xml:space="preserve">Same intent as the PDF (locked, filled from the donations total).</t>
        </is>
      </c>
    </row>
    <row r="17">
      <c r="A17" s="2" t="inlineStr">
        <is>
          <t xml:space="preserve">P016</t>
        </is>
      </c>
      <c r="B17" s="2" t="inlineStr">
        <is>
          <t xml:space="preserve">XIII Bank accounts table (row save)</t>
        </is>
      </c>
      <c r="C17" s="2" t="inlineStr">
        <is>
          <t xml:space="preserve">Account name, Account number, Currency, Name and address of bank including the country</t>
        </is>
      </c>
      <c r="D17" s="2" t="inlineStr">
        <is>
          <t xml:space="preserve">XIII Bank accounts</t>
        </is>
      </c>
      <c r="E17" s="2" t="inlineStr">
        <is>
          <t xml:space="preserve">Yes, all 4 fields, for each row</t>
        </is>
      </c>
      <c r="F17" s="2" t="inlineStr">
        <is>
          <t xml:space="preserve">Free text; Currency is a dropdown (MIRA currency list)</t>
        </is>
      </c>
      <c r="G17" s="2" t="inlineStr">
        <is>
          <t xml:space="preserve">The Account name field is required. / The Account number field is required. / The Currency field is required. / The Name and address of bank including the country field is required.</t>
        </is>
      </c>
      <c r="H17" s="2" t="inlineStr">
        <is>
          <t xml:space="preserve">Page code (grid editor data-val)</t>
        </is>
      </c>
      <c r="I17" s="2" t="inlineStr">
        <is>
          <t xml:space="preserve">R050</t>
        </is>
      </c>
      <c r="J17" s="2" t="inlineStr">
        <is>
          <t xml:space="preserve">PDF: no required fields. Portal: an incomplete row cannot be saved.</t>
        </is>
      </c>
    </row>
    <row r="18">
      <c r="A18" s="2" t="inlineStr">
        <is>
          <t xml:space="preserve">P017</t>
        </is>
      </c>
      <c r="B18" s="2" t="inlineStr">
        <is>
          <t xml:space="preserve">XII Immovable property table (row save)</t>
        </is>
      </c>
      <c r="C18" s="2" t="inlineStr">
        <is>
          <t xml:space="preserve">Name/address/location, Purpose, Country, Total investment (at cost)</t>
        </is>
      </c>
      <c r="D18" s="2" t="inlineStr">
        <is>
          <t xml:space="preserve">XII Immovable property</t>
        </is>
      </c>
      <c r="E18" s="2" t="inlineStr">
        <is>
          <t xml:space="preserve">Yes, all 4 fields</t>
        </is>
      </c>
      <c r="F18" s="2" t="inlineStr">
        <is>
          <t xml:space="preserve">Country dropdown; investment numeric, minimum 1</t>
        </is>
      </c>
      <c r="G18" s="2" t="inlineStr">
        <is>
          <t xml:space="preserve">The Name, address and location of the property field is required. / The Purpose for which the property is used (eg. Rental property) field is required. / The Country field is required. / The Total investment (at cost) field is required. / Total investment (at cost) must be greater than 0</t>
        </is>
      </c>
      <c r="H18" s="2" t="inlineStr">
        <is>
          <t xml:space="preserve">Page code (grid editor data-val)</t>
        </is>
      </c>
      <c r="I18" s="2" t="inlineStr">
        <is>
          <t xml:space="preserve">R049</t>
        </is>
      </c>
      <c r="J18" s="2" t="inlineStr">
        <is>
          <t xml:space="preserve">PDF: no checks. Portal: required, and investment must be &gt; 0.</t>
        </is>
      </c>
    </row>
    <row r="19">
      <c r="A19" s="2" t="inlineStr">
        <is>
          <t xml:space="preserve">P018</t>
        </is>
      </c>
      <c r="B19" s="2" t="inlineStr">
        <is>
          <t xml:space="preserve">XI Financial interest table (row save)</t>
        </is>
      </c>
      <c r="C19" s="2" t="inlineStr">
        <is>
          <t xml:space="preserve">Country of incorporation, Currency, Investment, Percentage</t>
        </is>
      </c>
      <c r="D19" s="2" t="inlineStr">
        <is>
          <t xml:space="preserve">XI Shares/interest outside Maldives</t>
        </is>
      </c>
      <c r="E19" s="2" t="inlineStr">
        <is>
          <t xml:space="preserve">Country and Currency required; Name, Investment, Percentage optional</t>
        </is>
      </c>
      <c r="F19" s="2" t="inlineStr">
        <is>
          <t xml:space="preserve">Investment numeric; Percentage 0-100</t>
        </is>
      </c>
      <c r="G19" s="2" t="inlineStr">
        <is>
          <t xml:space="preserve">The Country of incorporation field is required. / The Currency field is required. / The field Percentage of total investment must be between 0 and 100.</t>
        </is>
      </c>
      <c r="H19" s="2" t="inlineStr">
        <is>
          <t xml:space="preserve">Page code (grid editor data-val)</t>
        </is>
      </c>
      <c r="I19" s="2" t="inlineStr">
        <is>
          <t xml:space="preserve">R048</t>
        </is>
      </c>
      <c r="J19" s="2" t="inlineStr">
        <is>
          <t xml:space="preserve">PDF: no range on %. Portal: 0-100 and required country/currency.</t>
        </is>
      </c>
    </row>
    <row r="20">
      <c r="A20" s="2" t="inlineStr">
        <is>
          <t xml:space="preserve">P019</t>
        </is>
      </c>
      <c r="B20" s="2" t="inlineStr">
        <is>
          <t xml:space="preserve">X Group companies table (row save)</t>
        </is>
      </c>
      <c r="C20" s="2" t="inlineStr">
        <is>
          <t xml:space="preserve">Country of residence (Name and TIN optional)</t>
        </is>
      </c>
      <c r="D20" s="2" t="inlineStr">
        <is>
          <t xml:space="preserve">X Group companies</t>
        </is>
      </c>
      <c r="E20" s="2" t="inlineStr">
        <is>
          <t xml:space="preserve">Country required</t>
        </is>
      </c>
      <c r="F20" s="2" t="inlineStr">
        <is>
          <t xml:space="preserve">TIN is free text with no format check; Country dropdown</t>
        </is>
      </c>
      <c r="G20" s="2" t="inlineStr">
        <is>
          <t xml:space="preserve">The Country of residence field is required.</t>
        </is>
      </c>
      <c r="H20" s="2" t="inlineStr">
        <is>
          <t xml:space="preserve">Page code (grid editor data-val)</t>
        </is>
      </c>
      <c r="I20" s="2" t="inlineStr">
        <is>
          <t xml:space="preserve">R047</t>
        </is>
      </c>
      <c r="J20" s="2" t="inlineStr">
        <is>
          <t xml:space="preserve">Conflict: PDF TIN is numeric 7 cells; portal TIN is unchecked free text.</t>
        </is>
      </c>
    </row>
    <row r="21">
      <c r="A21" s="2" t="inlineStr">
        <is>
          <t xml:space="preserve">P020</t>
        </is>
      </c>
      <c r="B21" s="2" t="inlineStr">
        <is>
          <t xml:space="preserve">XIV Beneficial owners table (row save)</t>
        </is>
      </c>
      <c r="C21" s="2" t="inlineStr">
        <is>
          <t xml:space="preserve">Name, Date of birth, Nationality, National ID/Passport, Nature of ownership / controlling interest</t>
        </is>
      </c>
      <c r="D21" s="2" t="inlineStr">
        <is>
          <t xml:space="preserve">XIV Beneficial owners</t>
        </is>
      </c>
      <c r="E21" s="2" t="inlineStr">
        <is>
          <t xml:space="preserve">Name, DOB, Nationality, ID required; ownership OR controlling interest required</t>
        </is>
      </c>
      <c r="F21" s="2" t="inlineStr">
        <is>
          <t xml:space="preserve">DOB date, cannot be after today; dropdowns for nationality and both interest types</t>
        </is>
      </c>
      <c r="G21" s="2" t="inlineStr">
        <is>
          <t xml:space="preserve">The Name field is required. / The Date of birth field is required. / The Nationality field is required. / The National ID/Passport number field is required. / Nature of ownership interest or nature of controlling interest is required. / Nature of ownership interest or nature of controlling interest is required. Both cannot be left blank.</t>
        </is>
      </c>
      <c r="H21" s="2" t="inlineStr">
        <is>
          <t xml:space="preserve">Page code (grid editor data-val, onBeneficialOwnerEdit)</t>
        </is>
      </c>
      <c r="I21" s="2" t="inlineStr">
        <is>
          <t xml:space="preserve">R051</t>
        </is>
      </c>
      <c r="J21" s="2" t="inlineStr">
        <is>
          <t xml:space="preserve">PDF: one row, nothing required. Portal: unlimited rows, each fully required.</t>
        </is>
      </c>
    </row>
    <row r="22">
      <c r="A22" s="2" t="inlineStr">
        <is>
          <t xml:space="preserve">P021</t>
        </is>
      </c>
      <c r="B22" s="2" t="inlineStr">
        <is>
          <t xml:space="preserve">Statement of donations table (row save)</t>
        </is>
      </c>
      <c r="C22" s="2" t="inlineStr">
        <is>
          <t xml:space="preserve">No., Date, Name of donee, Details, Amount</t>
        </is>
      </c>
      <c r="D22" s="2" t="inlineStr">
        <is>
          <t xml:space="preserve">Donations (page 15)</t>
        </is>
      </c>
      <c r="E22" s="2" t="inlineStr">
        <is>
          <t xml:space="preserve">Yes, all 5 fields</t>
        </is>
      </c>
      <c r="F22" s="2" t="inlineStr">
        <is>
          <t xml:space="preserve">No. at least 1; date picker; amount numeric, not negative; no length limits seen</t>
        </is>
      </c>
      <c r="G22" s="2" t="inlineStr">
        <is>
          <t xml:space="preserve">The No. field is required. / Number should ge greater than or equal to 1 / The Date of donation field is required. / The Name of donee field is required. / The Details of donation field is required. / The Amount of donation field is required. / Donation amount cannot be negative</t>
        </is>
      </c>
      <c r="H22" s="2" t="inlineStr">
        <is>
          <t xml:space="preserve">Page code (grid editor data-val)</t>
        </is>
      </c>
      <c r="I22" s="2" t="inlineStr">
        <is>
          <t xml:space="preserve">R177, R178, R179</t>
        </is>
      </c>
      <c r="J22" s="2" t="inlineStr">
        <is>
          <t xml:space="preserve">Conflict: PDF date is DDMMYYYY text with a format error and 30/50-char limits; portal uses a date picker and has no length limits. Neither checks the date is in the tax year (client side).</t>
        </is>
      </c>
    </row>
    <row r="23">
      <c r="A23" s="2" t="inlineStr">
        <is>
          <t xml:space="preserve">P022</t>
        </is>
      </c>
      <c r="B23" s="2" t="inlineStr">
        <is>
          <t xml:space="preserve">Statements of sponsorship (teams / media)</t>
        </is>
      </c>
      <c r="C23" s="2" t="inlineStr">
        <is>
          <t xml:space="preserve">All columns</t>
        </is>
      </c>
      <c r="D23" s="2" t="inlineStr">
        <is>
          <t xml:space="preserve">Note 2 boxes 34-36 / 162-164</t>
        </is>
      </c>
      <c r="E23" s="2" t="inlineStr">
        <is>
          <t xml:space="preserve">No client-side required fields</t>
        </is>
      </c>
      <c r="F23" s="2" t="inlineStr">
        <is>
          <t xml:space="preserve">Printed note: payment date must fall within the tax year</t>
        </is>
      </c>
      <c r="G23" s="2" t="inlineStr">
        <is>
          <t xml:space="preserve">(none found)</t>
        </is>
      </c>
      <c r="H23" s="2" t="inlineStr">
        <is>
          <t xml:space="preserve">Page code</t>
        </is>
      </c>
      <c r="I23" s="2" t="inlineStr">
        <is>
          <t xml:space="preserve">-</t>
        </is>
      </c>
      <c r="J23" s="2" t="inlineStr">
        <is>
          <t xml:space="preserve">Date-in-year rule is printed only; any server check not tested. Not in PDF register.</t>
        </is>
      </c>
    </row>
    <row r="24">
      <c r="A24" s="2" t="inlineStr">
        <is>
          <t xml:space="preserve">P023</t>
        </is>
      </c>
      <c r="B24" s="2" t="inlineStr">
        <is>
          <t xml:space="preserve">Schedule 4 tables (row save)</t>
        </is>
      </c>
      <c r="C24" s="2" t="inlineStr">
        <is>
          <t xml:space="preserve">Shareholders, own shares, ultimate holding company</t>
        </is>
      </c>
      <c r="D24" s="2" t="inlineStr">
        <is>
          <t xml:space="preserve">Not in PDF v26.1</t>
        </is>
      </c>
      <c r="E24" s="2" t="inlineStr">
        <is>
          <t xml:space="preserve">Country of residence required</t>
        </is>
      </c>
      <c r="F24" s="2" t="inlineStr">
        <is>
          <t xml:space="preserve">Percentage and tax rate numeric, not negative</t>
        </is>
      </c>
      <c r="G24" s="2" t="inlineStr">
        <is>
          <t xml:space="preserve">The Country of residence field is required. / Percentage of shareholding cannot be negative / Tax rate cannot be negative</t>
        </is>
      </c>
      <c r="H24" s="2" t="inlineStr">
        <is>
          <t xml:space="preserve">Page code (grid editor data-val)</t>
        </is>
      </c>
      <c r="I24" s="2" t="inlineStr">
        <is>
          <t xml:space="preserve">-</t>
        </is>
      </c>
      <c r="J24" s="2" t="inlineStr">
        <is>
          <t xml:space="preserve">Portal-only.</t>
        </is>
      </c>
    </row>
    <row r="25">
      <c r="A25" s="2" t="inlineStr">
        <is>
          <t xml:space="preserve">P024</t>
        </is>
      </c>
      <c r="B25" s="2" t="inlineStr">
        <is>
          <t xml:space="preserve">Schedule 4 Branches table (row save)</t>
        </is>
      </c>
      <c r="C25" s="2" t="inlineStr">
        <is>
          <t xml:space="preserve">Name, Location/Country, Percentage, Tax rate</t>
        </is>
      </c>
      <c r="D25" s="2" t="inlineStr">
        <is>
          <t xml:space="preserve">Not in PDF v26.1</t>
        </is>
      </c>
      <c r="E25" s="2" t="inlineStr">
        <is>
          <t xml:space="preserve">Yes, all 4 fields</t>
        </is>
      </c>
      <c r="F25" s="2" t="inlineStr">
        <is>
          <t xml:space="preserve">Numeric, not negative</t>
        </is>
      </c>
      <c r="G25" s="2" t="inlineStr">
        <is>
          <t xml:space="preserve">The Name field is required. / The Location / Country field is required. / The Percentage of shareholding field is required. / The Tax rate field is required.</t>
        </is>
      </c>
      <c r="H25" s="2" t="inlineStr">
        <is>
          <t xml:space="preserve">Page code (grid editor data-val)</t>
        </is>
      </c>
      <c r="I25" s="2" t="inlineStr">
        <is>
          <t xml:space="preserve">-</t>
        </is>
      </c>
      <c r="J25" s="2" t="inlineStr">
        <is>
          <t xml:space="preserve">Portal-only.</t>
        </is>
      </c>
    </row>
    <row r="26">
      <c r="A26" s="2" t="inlineStr">
        <is>
          <t xml:space="preserve">P025</t>
        </is>
      </c>
      <c r="B26" s="2" t="inlineStr">
        <is>
          <t xml:space="preserve">Schedule 4 Beneficial owner table (row save)</t>
        </is>
      </c>
      <c r="C26" s="2" t="inlineStr">
        <is>
          <t xml:space="preserve">Name, Country of residence, Identification number</t>
        </is>
      </c>
      <c r="D26" s="2" t="inlineStr">
        <is>
          <t xml:space="preserve">Not in PDF v26.1</t>
        </is>
      </c>
      <c r="E26" s="2" t="inlineStr">
        <is>
          <t xml:space="preserve">Yes, all 3 fields</t>
        </is>
      </c>
      <c r="F26" s="2" t="inlineStr">
        <is>
          <t xml:space="preserve">Country dropdown</t>
        </is>
      </c>
      <c r="G26" s="2" t="inlineStr">
        <is>
          <t xml:space="preserve">The Name field is required. / The Country of residence field is required. / The Identification number field is required.</t>
        </is>
      </c>
      <c r="H26" s="2" t="inlineStr">
        <is>
          <t xml:space="preserve">Page code (grid editor data-val)</t>
        </is>
      </c>
      <c r="I26" s="2" t="inlineStr">
        <is>
          <t xml:space="preserve">-</t>
        </is>
      </c>
      <c r="J26" s="2" t="inlineStr">
        <is>
          <t xml:space="preserve">Portal-only.</t>
        </is>
      </c>
    </row>
    <row r="27">
      <c r="A27" s="2" t="inlineStr">
        <is>
          <t xml:space="preserve">P026</t>
        </is>
      </c>
      <c r="B27" s="2" t="inlineStr">
        <is>
          <t xml:space="preserve">Schedule 4 Sales to / purchases from associates (row save)</t>
        </is>
      </c>
      <c r="C27" s="2" t="inlineStr">
        <is>
          <t xml:space="preserve">Transfer pricing method; (purchases) Tax rate, Amount</t>
        </is>
      </c>
      <c r="D27" s="2" t="inlineStr">
        <is>
          <t xml:space="preserve">Not in PDF v26.1</t>
        </is>
      </c>
      <c r="E27" s="2" t="inlineStr">
        <is>
          <t xml:space="preserve">TP method required in both; tax rate and amount required for purchases</t>
        </is>
      </c>
      <c r="F27" s="2" t="inlineStr">
        <is>
          <t xml:space="preserve">Dropdown of TP methods; amounts and rates not negative</t>
        </is>
      </c>
      <c r="G27" s="2" t="inlineStr">
        <is>
          <t xml:space="preserve">The Transfer pricing method* field is required. / The Tax rate field is required. / The Amount field is required. / Amount cannot be negative / Tax rate cannot be negative</t>
        </is>
      </c>
      <c r="H27" s="2" t="inlineStr">
        <is>
          <t xml:space="preserve">Page code (grid editor data-val)</t>
        </is>
      </c>
      <c r="I27" s="2" t="inlineStr">
        <is>
          <t xml:space="preserve">-</t>
        </is>
      </c>
      <c r="J27" s="2" t="inlineStr">
        <is>
          <t xml:space="preserve">Portal-only. Sales and purchases tables are not symmetric (sales: amount and rate optional).</t>
        </is>
      </c>
    </row>
    <row r="28">
      <c r="A28" s="2" t="inlineStr">
        <is>
          <t xml:space="preserve">P027</t>
        </is>
      </c>
      <c r="B28" s="2" t="inlineStr">
        <is>
          <t xml:space="preserve">Schedule 4 Loans from / to associates (row save)</t>
        </is>
      </c>
      <c r="C28" s="2" t="inlineStr">
        <is>
          <t xml:space="preserve">Effective year</t>
        </is>
      </c>
      <c r="D28" s="2" t="inlineStr">
        <is>
          <t xml:space="preserve">Not in PDF v26.1</t>
        </is>
      </c>
      <c r="E28" s="2" t="inlineStr">
        <is>
          <t xml:space="preserve">Effective year required</t>
        </is>
      </c>
      <c r="F28" s="2" t="inlineStr">
        <is>
          <t xml:space="preserve">Date; loan value, rate, interest, balances numeric (no sign check)</t>
        </is>
      </c>
      <c r="G28" s="2" t="inlineStr">
        <is>
          <t xml:space="preserve">The Effective year field is required.</t>
        </is>
      </c>
      <c r="H28" s="2" t="inlineStr">
        <is>
          <t xml:space="preserve">Page code (grid editor data-val)</t>
        </is>
      </c>
      <c r="I28" s="2" t="inlineStr">
        <is>
          <t xml:space="preserve">-</t>
        </is>
      </c>
      <c r="J28" s="2" t="inlineStr">
        <is>
          <t xml:space="preserve">Portal-only.</t>
        </is>
      </c>
    </row>
    <row r="29">
      <c r="A29" s="2" t="inlineStr">
        <is>
          <t xml:space="preserve">P028</t>
        </is>
      </c>
      <c r="B29" s="2" t="inlineStr">
        <is>
          <t xml:space="preserve">Schedule 4 'none of these' tick boxes</t>
        </is>
      </c>
      <c r="C29" s="2" t="inlineStr">
        <is>
          <t xml:space="preserve">Rent/royalty, Services, Financial, Others groups</t>
        </is>
      </c>
      <c r="D29" s="2" t="inlineStr">
        <is>
          <t xml:space="preserve">Not in PDF v26.1</t>
        </is>
      </c>
      <c r="E29" s="2" t="inlineStr">
        <is>
          <t xml:space="preserve">Lock, not a requirement</t>
        </is>
      </c>
      <c r="F29" s="2" t="inlineStr">
        <is>
          <t xml:space="preserve">Ticking sets the group's boxes to 0.00 and locks them</t>
        </is>
      </c>
      <c r="G29" s="2" t="inlineStr">
        <is>
          <t xml:space="preserve">(none)</t>
        </is>
      </c>
      <c r="H29" s="2" t="inlineStr">
        <is>
          <t xml:space="preserve">Page code (bindCheckToggle)</t>
        </is>
      </c>
      <c r="I29" s="2" t="inlineStr">
        <is>
          <t xml:space="preserve">-</t>
        </is>
      </c>
      <c r="J29" s="2" t="inlineStr">
        <is>
          <t xml:space="preserve">Portal-only lock logic.</t>
        </is>
      </c>
    </row>
    <row r="30">
      <c r="A30" s="2" t="inlineStr">
        <is>
          <t xml:space="preserve">P029</t>
        </is>
      </c>
      <c r="B30" s="2" t="inlineStr">
        <is>
          <t xml:space="preserve">Schedule 6 beneficial owner tables (row save)</t>
        </is>
      </c>
      <c r="C30" s="2" t="inlineStr">
        <is>
          <t xml:space="preserve">Same columns as XIV</t>
        </is>
      </c>
      <c r="D30" s="2" t="inlineStr">
        <is>
          <t xml:space="preserve">Not in PDF v26.1</t>
        </is>
      </c>
      <c r="E30" s="2" t="inlineStr">
        <is>
          <t xml:space="preserve">As P020</t>
        </is>
      </c>
      <c r="F30" s="2" t="inlineStr">
        <is>
          <t xml:space="preserve">As P020</t>
        </is>
      </c>
      <c r="G30" s="2" t="inlineStr">
        <is>
          <t xml:space="preserve">Same messages as P020</t>
        </is>
      </c>
      <c r="H30" s="2" t="inlineStr">
        <is>
          <t xml:space="preserve">Page code (onSch6BeneficialOwnerEdit)</t>
        </is>
      </c>
      <c r="I30" s="2" t="inlineStr">
        <is>
          <t xml:space="preserve">-</t>
        </is>
      </c>
      <c r="J30" s="2" t="inlineStr">
        <is>
          <t xml:space="preserve">Portal-only.</t>
        </is>
      </c>
    </row>
    <row r="31">
      <c r="A31" s="2" t="inlineStr">
        <is>
          <t xml:space="preserve">P030</t>
        </is>
      </c>
      <c r="B31" s="2" t="inlineStr">
        <is>
          <t xml:space="preserve">Schedule 6 items 9-13</t>
        </is>
      </c>
      <c r="C31" s="2" t="inlineStr">
        <is>
          <t xml:space="preserve">Share / interest / option / IP fields</t>
        </is>
      </c>
      <c r="D31" s="2" t="inlineStr">
        <is>
          <t xml:space="preserve">Not in PDF v26.1</t>
        </is>
      </c>
      <c r="E31" s="2" t="inlineStr">
        <is>
          <t xml:space="preserve">Lock: items open only when the matching item 8 ticks are set (8.2/8.5; 8.3/8.4/8.6/8.7; 8.8; 8.10/8.11/8.14; 8.12/8.13/8.15)</t>
        </is>
      </c>
      <c r="F31" s="2" t="inlineStr">
        <is>
          <t xml:space="preserve">Unticking clears the values</t>
        </is>
      </c>
      <c r="G31" s="2" t="inlineStr">
        <is>
          <t xml:space="preserve">(none)</t>
        </is>
      </c>
      <c r="H31" s="2" t="inlineStr">
        <is>
          <t xml:space="preserve">Page code (toggleItem9-13)</t>
        </is>
      </c>
      <c r="I31" s="2" t="inlineStr">
        <is>
          <t xml:space="preserve">-</t>
        </is>
      </c>
      <c r="J31" s="2" t="inlineStr">
        <is>
          <t xml:space="preserve">Portal-only lock logic.</t>
        </is>
      </c>
    </row>
    <row r="32">
      <c r="A32" s="2" t="inlineStr">
        <is>
          <t xml:space="preserve">P031</t>
        </is>
      </c>
      <c r="B32" s="2" t="inlineStr">
        <is>
          <t xml:space="preserve">Whole form (browser)</t>
        </is>
      </c>
      <c r="C32" s="2" t="inlineStr">
        <is>
          <t xml:space="preserve">All 634 amount boxes</t>
        </is>
      </c>
      <c r="D32" s="2" t="inlineStr">
        <is>
          <t xml:space="preserve">All numeric boxes</t>
        </is>
      </c>
      <c r="E32" s="2" t="inlineStr">
        <is>
          <t xml:space="preserve">No (format only)</t>
        </is>
      </c>
      <c r="F32" s="2" t="inlineStr">
        <is>
          <t xml:space="preserve">Must be a number; commas are stripped on focus</t>
        </is>
      </c>
      <c r="G32" s="2" t="inlineStr">
        <is>
          <t xml:space="preserve">The field &lt;box&gt; must be a number.</t>
        </is>
      </c>
      <c r="H32" s="2" t="inlineStr">
        <is>
          <t xml:space="preserve">Page code (data-val-number)</t>
        </is>
      </c>
      <c r="I32" s="2" t="inlineStr">
        <is>
          <t xml:space="preserve">Field inventory</t>
        </is>
      </c>
      <c r="J32" s="2" t="inlineStr">
        <is>
          <t xml:space="preserve">Same intent as the PDF numeric pictures; portal has no fixed digit limits.</t>
        </is>
      </c>
    </row>
    <row r="33">
      <c r="A33" s="2" t="inlineStr">
        <is>
          <t xml:space="preserve">P032</t>
        </is>
      </c>
      <c r="B33" s="2" t="inlineStr">
        <is>
          <t xml:space="preserve">Whole form (browser)</t>
        </is>
      </c>
      <c r="C33" s="2" t="inlineStr">
        <is>
          <t xml:space="preserve">Accounting period From / To, Declaration date, Schedule 6 disposal date</t>
        </is>
      </c>
      <c r="D33" s="2" t="inlineStr">
        <is>
          <t xml:space="preserve">Header accounting period; Declaration date</t>
        </is>
      </c>
      <c r="E33" s="2" t="inlineStr">
        <is>
          <t xml:space="preserve">Format only (received date also flagged required but is pre-filled)</t>
        </is>
      </c>
      <c r="F33" s="2" t="inlineStr">
        <is>
          <t xml:space="preserve">Must be a valid date</t>
        </is>
      </c>
      <c r="G33" s="2" t="inlineStr">
        <is>
          <t xml:space="preserve">The field A_PERIOD_FROM must be a date. (same pattern for A_PERIOD_TO, A_DEC_DATE, A_SCH6_DISPOSE_DATE)</t>
        </is>
      </c>
      <c r="H33" s="2" t="inlineStr">
        <is>
          <t xml:space="preserve">Page code (data-val-date)</t>
        </is>
      </c>
      <c r="I33" s="2" t="inlineStr">
        <is>
          <t xml:space="preserve">R012, R029</t>
        </is>
      </c>
      <c r="J33" s="2" t="inlineStr">
        <is>
          <t xml:space="preserve">PDF uses DDMMYYYY comb cells; neither checks To is after From (client side).</t>
        </is>
      </c>
    </row>
  </sheetData>
  <pageMargins left="0.75" right="0.75" top="1" bottom="1" header="0.5" footer="0.5"/>
  <tableParts count="1">
    <tablePart r:id="rId1"/>
  </tableParts>
</worksheet>
</file>

<file path=xl/worksheets/sheet8.xml><?xml version="1.0" encoding="utf-8"?>
<worksheet xmlns="http://schemas.openxmlformats.org/spreadsheetml/2006/main" xmlns:r="http://schemas.openxmlformats.org/officeDocument/2006/relationships">
  <sheetPr>
    <outlinePr summaryBelow="1" summaryRight="1"/>
    <pageSetUpPr/>
  </sheetPr>
  <dimension ref="A1:K39"/>
  <sheetViews>
    <sheetView workbookViewId="0">
      <pane xSplit="1" ySplit="1" topLeftCell="B2" activePane="bottomRight" state="frozen"/>
      <selection pane="topRight"/>
      <selection pane="bottomLeft"/>
      <selection pane="bottomRight" activeCell="H2" sqref="H2"/>
    </sheetView>
  </sheetViews>
  <sheetFormatPr baseColWidth="8" defaultRowHeight="15"/>
  <cols>
    <col width="8" customWidth="1" min="1" max="1"/>
    <col width="9" customWidth="1" min="2" max="2"/>
    <col width="30" customWidth="1" min="3" max="3"/>
    <col width="24" customWidth="1" min="4" max="4"/>
    <col width="48" customWidth="1" min="5" max="5"/>
    <col width="44" customWidth="1" min="6" max="6"/>
    <col width="40" customWidth="1" min="7" max="7"/>
    <col width="40" customWidth="1" min="8" max="8"/>
    <col width="16" customWidth="1" min="9" max="9"/>
    <col width="30" customWidth="1" min="10" max="10"/>
    <col width="20" customWidth="1" min="11" max="11"/>
  </cols>
  <sheetData>
    <row r="1">
      <c r="A1" s="4" t="inlineStr">
        <is>
          <t xml:space="preserve">Test ID</t>
        </is>
      </c>
      <c r="B1" s="4" t="inlineStr">
        <is>
          <t xml:space="preserve">Priority</t>
        </is>
      </c>
      <c r="C1" s="4" t="inlineStr">
        <is>
          <t xml:space="preserve">Area / PDF box</t>
        </is>
      </c>
      <c r="D1" s="4" t="inlineStr">
        <is>
          <t xml:space="preserve">Starting state</t>
        </is>
      </c>
      <c r="E1" s="4" t="inlineStr">
        <is>
          <t xml:space="preserve">Change to make</t>
        </is>
      </c>
      <c r="F1" s="4" t="inlineStr">
        <is>
          <t xml:space="preserve">Expected result</t>
        </is>
      </c>
      <c r="G1" s="4" t="inlineStr">
        <is>
          <t xml:space="preserve">Known message</t>
        </is>
      </c>
      <c r="H1" s="4" t="inlineStr">
        <is>
          <t xml:space="preserve">Actual message (fill in)</t>
        </is>
      </c>
      <c r="I1" s="4" t="inlineStr">
        <is>
          <t xml:space="preserve">Outcome (fill in)</t>
        </is>
      </c>
      <c r="J1" s="4" t="inlineStr">
        <is>
          <t xml:space="preserve">Restore after test</t>
        </is>
      </c>
      <c r="K1" s="4" t="inlineStr">
        <is>
          <t xml:space="preserve">Links (Portal checks / Rule register)</t>
        </is>
      </c>
    </row>
    <row r="2">
      <c r="A2" s="2" t="inlineStr">
        <is>
          <t xml:space="preserve">T00</t>
        </is>
      </c>
      <c r="B2" s="2" t="inlineStr">
        <is>
          <t xml:space="preserve">Setup</t>
        </is>
      </c>
      <c r="C2" s="2" t="inlineStr">
        <is>
          <t xml:space="preserve">Whole return</t>
        </is>
      </c>
      <c r="D2" s="2" t="inlineStr">
        <is>
          <t xml:space="preserve">Return open, before any test</t>
        </is>
      </c>
      <c r="E2" s="2" t="inlineStr">
        <is>
          <t xml:space="preserve">Save a copy of the page as it is now: browser Print &gt; Save as PDF (whole page, all schedules), and list every table row. Never press Save as Draft or Submit during these tests.</t>
        </is>
      </c>
      <c r="F2" s="2" t="inlineStr">
        <is>
          <t xml:space="preserve">Reference copy for restoring values at the end.</t>
        </is>
      </c>
      <c r="G2" s="2" t="inlineStr">
        <is>
          <t xml:space="preserve">-</t>
        </is>
      </c>
      <c r="H2" s="2"/>
      <c r="I2" s="2"/>
      <c r="J2" s="2" t="inlineStr">
        <is>
          <t xml:space="preserve">Keep the copy until the return is filed.</t>
        </is>
      </c>
      <c r="K2" s="2" t="inlineStr">
        <is>
          <t xml:space="preserve">-</t>
        </is>
      </c>
    </row>
    <row r="3">
      <c r="A3" s="2" t="inlineStr">
        <is>
          <t xml:space="preserve">T01</t>
        </is>
      </c>
      <c r="B3" s="2" t="inlineStr">
        <is>
          <t xml:space="preserve">Setup</t>
        </is>
      </c>
      <c r="C3" s="2" t="inlineStr">
        <is>
          <t xml:space="preserve">Declaration: Designation</t>
        </is>
      </c>
      <c r="D3" s="2" t="inlineStr">
        <is>
          <t xml:space="preserve">As T00</t>
        </is>
      </c>
      <c r="E3" s="2" t="inlineStr">
        <is>
          <t xml:space="preserve">Add ' TEST' to the end of the Declaration designation. Press Check and Calculate. Then press Back, reopen the return from Pending Tasks and look at the designation.</t>
        </is>
      </c>
      <c r="F3" s="2" t="inlineStr">
        <is>
          <t xml:space="preserve">Shows whether Check and Calculate writes values into the stored draft. If ' TEST' is still there, every later test changes the draft until you restore it.</t>
        </is>
      </c>
      <c r="G3" s="2" t="inlineStr">
        <is>
          <t xml:space="preserve">Unknown</t>
        </is>
      </c>
      <c r="H3" s="2"/>
      <c r="I3" s="2"/>
      <c r="J3" s="2" t="inlineStr">
        <is>
          <t xml:space="preserve">Remove ' TEST' and press Check and Calculate.</t>
        </is>
      </c>
      <c r="K3" s="2" t="inlineStr">
        <is>
          <t xml:space="preserve">-</t>
        </is>
      </c>
    </row>
    <row r="4">
      <c r="A4" s="2" t="inlineStr">
        <is>
          <t xml:space="preserve">T02</t>
        </is>
      </c>
      <c r="B4" s="2" t="inlineStr">
        <is>
          <t xml:space="preserve">Setup</t>
        </is>
      </c>
      <c r="C4" s="2" t="inlineStr">
        <is>
          <t xml:space="preserve">Whole return</t>
        </is>
      </c>
      <c r="D4" s="2" t="inlineStr">
        <is>
          <t xml:space="preserve">No changes</t>
        </is>
      </c>
      <c r="E4" s="2" t="inlineStr">
        <is>
          <t xml:space="preserve">Press Check and Calculate.</t>
        </is>
      </c>
      <c r="F4" s="2" t="inlineStr">
        <is>
          <t xml:space="preserve">Baseline: the 10 known errors. Compare every later test with this list; only record messages that are new or that disappear.</t>
        </is>
      </c>
      <c r="G4" s="2" t="inlineStr">
        <is>
          <t xml:space="preserve">See Portal checks P001-P010</t>
        </is>
      </c>
      <c r="H4" s="2"/>
      <c r="I4" s="2"/>
      <c r="J4" s="2" t="inlineStr">
        <is>
          <t xml:space="preserve">-</t>
        </is>
      </c>
      <c r="K4" s="2" t="inlineStr">
        <is>
          <t xml:space="preserve">P001-P010</t>
        </is>
      </c>
    </row>
    <row r="5">
      <c r="A5" s="2" t="inlineStr">
        <is>
          <t xml:space="preserve">T03</t>
        </is>
      </c>
      <c r="B5" s="2" t="inlineStr">
        <is>
          <t xml:space="preserve">High</t>
        </is>
      </c>
      <c r="C5" s="2" t="inlineStr">
        <is>
          <t xml:space="preserve">Section A and Section B together (Boxes 191 / 203, Box A)</t>
        </is>
      </c>
      <c r="D5" s="2" t="inlineStr">
        <is>
          <t xml:space="preserve">Section B in use</t>
        </is>
      </c>
      <c r="E5" s="2" t="inlineStr">
        <is>
          <t xml:space="preserve">Enter 1 in Section A Box 11 (gifts) so that both Section A and Section B have figures.</t>
        </is>
      </c>
      <c r="F5" s="2" t="inlineStr">
        <is>
          <t xml:space="preserve">Page code says the server rejects a return with both sections filled. PDF only sets Box A to 0 (R015 defect).</t>
        </is>
      </c>
      <c r="G5" s="2" t="inlineStr">
        <is>
          <t xml:space="preserve">Unknown: record exactly</t>
        </is>
      </c>
      <c r="H5" s="2"/>
      <c r="I5" s="2"/>
      <c r="J5" s="2" t="inlineStr">
        <is>
          <t xml:space="preserve">Clear Box 11.</t>
        </is>
      </c>
      <c r="K5" s="2" t="inlineStr">
        <is>
          <t xml:space="preserve">R015</t>
        </is>
      </c>
    </row>
    <row r="6">
      <c r="A6" s="2" t="inlineStr">
        <is>
          <t xml:space="preserve">T04</t>
        </is>
      </c>
      <c r="B6" s="2" t="inlineStr">
        <is>
          <t xml:space="preserve">High</t>
        </is>
      </c>
      <c r="C6" s="2" t="inlineStr">
        <is>
          <t xml:space="preserve">Header: accounting period From / To</t>
        </is>
      </c>
      <c r="D6" s="2" t="inlineStr">
        <is>
          <t xml:space="preserve">Period filled</t>
        </is>
      </c>
      <c r="E6" s="2" t="inlineStr">
        <is>
          <t xml:space="preserve">Clear both period dates.</t>
        </is>
      </c>
      <c r="F6" s="2" t="inlineStr">
        <is>
          <t xml:space="preserve">Error expected: period is needed to compute the tax-free bracket.</t>
        </is>
      </c>
      <c r="G6" s="2" t="inlineStr">
        <is>
          <t xml:space="preserve">Unknown</t>
        </is>
      </c>
      <c r="H6" s="2"/>
      <c r="I6" s="2"/>
      <c r="J6" s="2" t="inlineStr">
        <is>
          <t xml:space="preserve">Re-enter both dates.</t>
        </is>
      </c>
      <c r="K6" s="2" t="inlineStr">
        <is>
          <t xml:space="preserve">R012</t>
        </is>
      </c>
    </row>
    <row r="7">
      <c r="A7" s="2" t="inlineStr">
        <is>
          <t xml:space="preserve">T05</t>
        </is>
      </c>
      <c r="B7" s="2" t="inlineStr">
        <is>
          <t xml:space="preserve">High</t>
        </is>
      </c>
      <c r="C7" s="2" t="inlineStr">
        <is>
          <t xml:space="preserve">Header: accounting period From / To</t>
        </is>
      </c>
      <c r="D7" s="2" t="inlineStr">
        <is>
          <t xml:space="preserve">Period filled</t>
        </is>
      </c>
      <c r="E7" s="2" t="inlineStr">
        <is>
          <t xml:space="preserve">Set To earlier than From (e.g. From 01/01/2025, To 31/12/2024).</t>
        </is>
      </c>
      <c r="F7" s="2" t="inlineStr">
        <is>
          <t xml:space="preserve">Error expected; PDF does not check this.</t>
        </is>
      </c>
      <c r="G7" s="2" t="inlineStr">
        <is>
          <t xml:space="preserve">Unknown</t>
        </is>
      </c>
      <c r="H7" s="2"/>
      <c r="I7" s="2"/>
      <c r="J7" s="2" t="inlineStr">
        <is>
          <t xml:space="preserve">Re-enter original dates.</t>
        </is>
      </c>
      <c r="K7" s="2" t="inlineStr">
        <is>
          <t xml:space="preserve">R012</t>
        </is>
      </c>
    </row>
    <row r="8">
      <c r="A8" s="2" t="inlineStr">
        <is>
          <t xml:space="preserve">T06</t>
        </is>
      </c>
      <c r="B8" s="2" t="inlineStr">
        <is>
          <t xml:space="preserve">High</t>
        </is>
      </c>
      <c r="C8" s="2" t="inlineStr">
        <is>
          <t xml:space="preserve">Header: accounting period</t>
        </is>
      </c>
      <c r="D8" s="2" t="inlineStr">
        <is>
          <t xml:space="preserve">Period filled</t>
        </is>
      </c>
      <c r="E8" s="2" t="inlineStr">
        <is>
          <t xml:space="preserve">Set a period longer than 12 months, or one that does not end in tax year 2025.</t>
        </is>
      </c>
      <c r="F8" s="2" t="inlineStr">
        <is>
          <t xml:space="preserve">Error or warning expected (s.58 of the Regulation).</t>
        </is>
      </c>
      <c r="G8" s="2" t="inlineStr">
        <is>
          <t xml:space="preserve">Unknown</t>
        </is>
      </c>
      <c r="H8" s="2"/>
      <c r="I8" s="2"/>
      <c r="J8" s="2" t="inlineStr">
        <is>
          <t xml:space="preserve">Re-enter original dates.</t>
        </is>
      </c>
      <c r="K8" s="2" t="inlineStr">
        <is>
          <t xml:space="preserve">R012</t>
        </is>
      </c>
    </row>
    <row r="9">
      <c r="A9" s="2" t="inlineStr">
        <is>
          <t xml:space="preserve">T07</t>
        </is>
      </c>
      <c r="B9" s="2" t="inlineStr">
        <is>
          <t xml:space="preserve">High</t>
        </is>
      </c>
      <c r="C9" s="2" t="inlineStr">
        <is>
          <t xml:space="preserve">Header: residency status</t>
        </is>
      </c>
      <c r="D9" s="2" t="inlineStr">
        <is>
          <t xml:space="preserve">One residency box ticked</t>
        </is>
      </c>
      <c r="E9" s="2" t="inlineStr">
        <is>
          <t xml:space="preserve">Untick all three residency boxes (Resident / Temporary resident / Non-resident).</t>
        </is>
      </c>
      <c r="F9" s="2" t="inlineStr">
        <is>
          <t xml:space="preserve">Error expected; residency opens Box B, G, 88, 109-111.</t>
        </is>
      </c>
      <c r="G9" s="2" t="inlineStr">
        <is>
          <t xml:space="preserve">Unknown</t>
        </is>
      </c>
      <c r="H9" s="2"/>
      <c r="I9" s="2"/>
      <c r="J9" s="2" t="inlineStr">
        <is>
          <t xml:space="preserve">Re-tick the original box.</t>
        </is>
      </c>
      <c r="K9" s="2" t="inlineStr">
        <is>
          <t xml:space="preserve">R009-R011</t>
        </is>
      </c>
    </row>
    <row r="10">
      <c r="A10" s="2" t="inlineStr">
        <is>
          <t xml:space="preserve">T08</t>
        </is>
      </c>
      <c r="B10" s="2" t="inlineStr">
        <is>
          <t xml:space="preserve">High</t>
        </is>
      </c>
      <c r="C10" s="2" t="inlineStr">
        <is>
          <t xml:space="preserve">Declaration: Name</t>
        </is>
      </c>
      <c r="D10" s="2" t="inlineStr">
        <is>
          <t xml:space="preserve">Name filled</t>
        </is>
      </c>
      <c r="E10" s="2" t="inlineStr">
        <is>
          <t xml:space="preserve">Clear the declarant's name.</t>
        </is>
      </c>
      <c r="F10" s="2" t="inlineStr">
        <is>
          <t xml:space="preserve">Error expected (same family as 'Please enter contact number').</t>
        </is>
      </c>
      <c r="G10" s="2" t="inlineStr">
        <is>
          <t xml:space="preserve">Unknown</t>
        </is>
      </c>
      <c r="H10" s="2"/>
      <c r="I10" s="2"/>
      <c r="J10" s="2" t="inlineStr">
        <is>
          <t xml:space="preserve">Re-enter the name.</t>
        </is>
      </c>
      <c r="K10" s="2" t="inlineStr">
        <is>
          <t xml:space="preserve">R026</t>
        </is>
      </c>
    </row>
    <row r="11">
      <c r="A11" s="2" t="inlineStr">
        <is>
          <t xml:space="preserve">T09</t>
        </is>
      </c>
      <c r="B11" s="2" t="inlineStr">
        <is>
          <t xml:space="preserve">High</t>
        </is>
      </c>
      <c r="C11" s="2" t="inlineStr">
        <is>
          <t xml:space="preserve">Declaration: Designation</t>
        </is>
      </c>
      <c r="D11" s="2" t="inlineStr">
        <is>
          <t xml:space="preserve">Filled</t>
        </is>
      </c>
      <c r="E11" s="2" t="inlineStr">
        <is>
          <t xml:space="preserve">Clear the designation.</t>
        </is>
      </c>
      <c r="F11" s="2" t="inlineStr">
        <is>
          <t xml:space="preserve">Error expected.</t>
        </is>
      </c>
      <c r="G11" s="2" t="inlineStr">
        <is>
          <t xml:space="preserve">Unknown</t>
        </is>
      </c>
      <c r="H11" s="2"/>
      <c r="I11" s="2"/>
      <c r="J11" s="2" t="inlineStr">
        <is>
          <t xml:space="preserve">Re-enter the designation.</t>
        </is>
      </c>
      <c r="K11" s="2" t="inlineStr">
        <is>
          <t xml:space="preserve">R027</t>
        </is>
      </c>
    </row>
    <row r="12">
      <c r="A12" s="2" t="inlineStr">
        <is>
          <t xml:space="preserve">T10</t>
        </is>
      </c>
      <c r="B12" s="2" t="inlineStr">
        <is>
          <t xml:space="preserve">High</t>
        </is>
      </c>
      <c r="C12" s="2" t="inlineStr">
        <is>
          <t xml:space="preserve">Declaration: Date</t>
        </is>
      </c>
      <c r="D12" s="2" t="inlineStr">
        <is>
          <t xml:space="preserve">Filled or blank</t>
        </is>
      </c>
      <c r="E12" s="2" t="inlineStr">
        <is>
          <t xml:space="preserve">(a) Clear the date. (b) Enter a date in the future. (c) Enter a date before the period end.</t>
        </is>
      </c>
      <c r="F12" s="2" t="inlineStr">
        <is>
          <t xml:space="preserve">(a) Error expected. (b)/(c) Unknown.</t>
        </is>
      </c>
      <c r="G12" s="2" t="inlineStr">
        <is>
          <t xml:space="preserve">'The field A_DEC_DATE must be a date.' for invalid text</t>
        </is>
      </c>
      <c r="H12" s="2" t="inlineStr">
        <is>
          <t xml:space="preserve">Record (a), (b), (c) separately</t>
        </is>
      </c>
      <c r="I12" s="2"/>
      <c r="J12" s="2" t="inlineStr">
        <is>
          <t xml:space="preserve">Re-enter original date.</t>
        </is>
      </c>
      <c r="K12" s="2" t="inlineStr">
        <is>
          <t xml:space="preserve">R029, P032</t>
        </is>
      </c>
    </row>
    <row r="13">
      <c r="A13" s="2" t="inlineStr">
        <is>
          <t xml:space="preserve">T11</t>
        </is>
      </c>
      <c r="B13" s="2" t="inlineStr">
        <is>
          <t xml:space="preserve">High</t>
        </is>
      </c>
      <c r="C13" s="2" t="inlineStr">
        <is>
          <t xml:space="preserve">Declaration: Contact number</t>
        </is>
      </c>
      <c r="D13" s="2" t="inlineStr">
        <is>
          <t xml:space="preserve">Blank (P010 fires)</t>
        </is>
      </c>
      <c r="E13" s="2" t="inlineStr">
        <is>
          <t xml:space="preserve">(a) Enter letters 'abc'. (b) Enter '+960 7771234'. (c) Enter '123'. (d) Enter a valid 7-digit number.</t>
        </is>
      </c>
      <c r="F13" s="2" t="inlineStr">
        <is>
          <t xml:space="preserve">(a)-(c) show whether a format check exists; (d) P010 should disappear.</t>
        </is>
      </c>
      <c r="G13" s="2" t="inlineStr">
        <is>
          <t xml:space="preserve">'Please enter contact number' when blank</t>
        </is>
      </c>
      <c r="H13" s="2" t="inlineStr">
        <is>
          <t xml:space="preserve">Record (a)-(d) separately</t>
        </is>
      </c>
      <c r="I13" s="2"/>
      <c r="J13" s="2" t="inlineStr">
        <is>
          <t xml:space="preserve">Clear it again if it was blank in T00.</t>
        </is>
      </c>
      <c r="K13" s="2" t="inlineStr">
        <is>
          <t xml:space="preserve">R028, P010</t>
        </is>
      </c>
    </row>
    <row r="14">
      <c r="A14" s="2" t="inlineStr">
        <is>
          <t xml:space="preserve">T12</t>
        </is>
      </c>
      <c r="B14" s="2" t="inlineStr">
        <is>
          <t xml:space="preserve">High</t>
        </is>
      </c>
      <c r="C14" s="2" t="inlineStr">
        <is>
          <t xml:space="preserve">III Presentation currency vs II functional currency</t>
        </is>
      </c>
      <c r="D14" s="2" t="inlineStr">
        <is>
          <t xml:space="preserve">Presentation blank (P005 fires)</t>
        </is>
      </c>
      <c r="E14" s="2" t="inlineStr">
        <is>
          <t xml:space="preserve">(a) Select Rufiyaa with II-b (e)-(h) showing USD. (b) Select USD with functional currency Rufiyaa.</t>
        </is>
      </c>
      <c r="F14" s="2" t="inlineStr">
        <is>
          <t xml:space="preserve">PDF says: if functional currency is not MVR you must present in USD. Shows whether the portal blocks the mismatch.</t>
        </is>
      </c>
      <c r="G14" s="2" t="inlineStr">
        <is>
          <t xml:space="preserve">'Please select the presentation currency' when blank</t>
        </is>
      </c>
      <c r="H14" s="2" t="inlineStr">
        <is>
          <t xml:space="preserve">Record (a), (b)</t>
        </is>
      </c>
      <c r="I14" s="2"/>
      <c r="J14" s="2" t="inlineStr">
        <is>
          <t xml:space="preserve">Clear both selections.</t>
        </is>
      </c>
      <c r="K14" s="2" t="inlineStr">
        <is>
          <t xml:space="preserve">R038, R039, P005</t>
        </is>
      </c>
    </row>
    <row r="15">
      <c r="A15" s="2" t="inlineStr">
        <is>
          <t xml:space="preserve">T13</t>
        </is>
      </c>
      <c r="B15" s="2" t="inlineStr">
        <is>
          <t xml:space="preserve">High</t>
        </is>
      </c>
      <c r="C15" s="2" t="inlineStr">
        <is>
          <t xml:space="preserve">II-a vs II-b functional currency</t>
        </is>
      </c>
      <c r="D15" s="2" t="inlineStr">
        <is>
          <t xml:space="preserve">II-b blank (P003/P004 fire)</t>
        </is>
      </c>
      <c r="E15" s="2" t="inlineStr">
        <is>
          <t xml:space="preserve">(a) Tick an II-b option in (a)-(d) and (e)-(h). (b) Also tick an II-a option (first-year block).</t>
        </is>
      </c>
      <c r="F15" s="2" t="inlineStr">
        <is>
          <t xml:space="preserve">(a) P003/P004 should disappear. (b) Shows whether ticking both blocks is rejected (PDF allows it).</t>
        </is>
      </c>
      <c r="G15" s="2" t="inlineStr">
        <is>
          <t xml:space="preserve">See P003, P004</t>
        </is>
      </c>
      <c r="H15" s="2" t="inlineStr">
        <is>
          <t xml:space="preserve">Record (a), (b)</t>
        </is>
      </c>
      <c r="I15" s="2"/>
      <c r="J15" s="2" t="inlineStr">
        <is>
          <t xml:space="preserve">Untick everything you ticked.</t>
        </is>
      </c>
      <c r="K15" s="2" t="inlineStr">
        <is>
          <t xml:space="preserve">R035, R037, P003, P004</t>
        </is>
      </c>
    </row>
    <row r="16">
      <c r="A16" s="2" t="inlineStr">
        <is>
          <t xml:space="preserve">T14</t>
        </is>
      </c>
      <c r="B16" s="2" t="inlineStr">
        <is>
          <t xml:space="preserve">High</t>
        </is>
      </c>
      <c r="C16" s="2" t="inlineStr">
        <is>
          <t xml:space="preserve">IV Audit opinion</t>
        </is>
      </c>
      <c r="D16" s="2" t="inlineStr">
        <is>
          <t xml:space="preserve">Opinion as filed</t>
        </is>
      </c>
      <c r="E16" s="2" t="inlineStr">
        <is>
          <t xml:space="preserve">(a) Clear the audit opinion. (b) Select (e) 'Not required to audit'.</t>
        </is>
      </c>
      <c r="F16" s="2" t="inlineStr">
        <is>
          <t xml:space="preserve">(a) Error expected. (b) Shows whether 'Please upload audit report' (P008) and the directors' report error (P007) disappear.</t>
        </is>
      </c>
      <c r="G16" s="2" t="inlineStr">
        <is>
          <t xml:space="preserve">Unknown</t>
        </is>
      </c>
      <c r="H16" s="2" t="inlineStr">
        <is>
          <t xml:space="preserve">Record (a), (b)</t>
        </is>
      </c>
      <c r="I16" s="2"/>
      <c r="J16" s="2" t="inlineStr">
        <is>
          <t xml:space="preserve">Re-select original opinion.</t>
        </is>
      </c>
      <c r="K16" s="2" t="inlineStr">
        <is>
          <t xml:space="preserve">R040, P007, P008</t>
        </is>
      </c>
    </row>
    <row r="17">
      <c r="A17" s="2" t="inlineStr">
        <is>
          <t xml:space="preserve">T15</t>
        </is>
      </c>
      <c r="B17" s="2" t="inlineStr">
        <is>
          <t xml:space="preserve">High</t>
        </is>
      </c>
      <c r="C17" s="2" t="inlineStr">
        <is>
          <t xml:space="preserve">Header: Auditor registration number</t>
        </is>
      </c>
      <c r="D17" s="2" t="inlineStr">
        <is>
          <t xml:space="preserve">Filled</t>
        </is>
      </c>
      <c r="E17" s="2" t="inlineStr">
        <is>
          <t xml:space="preserve">Clear the auditor registration number while opinion is (a)-(d).</t>
        </is>
      </c>
      <c r="F17" s="2" t="inlineStr">
        <is>
          <t xml:space="preserve">Error expected; PDF does not check this.</t>
        </is>
      </c>
      <c r="G17" s="2" t="inlineStr">
        <is>
          <t xml:space="preserve">Unknown</t>
        </is>
      </c>
      <c r="H17" s="2"/>
      <c r="I17" s="2"/>
      <c r="J17" s="2" t="inlineStr">
        <is>
          <t xml:space="preserve">Re-enter the number.</t>
        </is>
      </c>
      <c r="K17" s="2" t="inlineStr">
        <is>
          <t xml:space="preserve">R013</t>
        </is>
      </c>
    </row>
    <row r="18">
      <c r="A18" s="2" t="inlineStr">
        <is>
          <t xml:space="preserve">T16</t>
        </is>
      </c>
      <c r="B18" s="2" t="inlineStr">
        <is>
          <t xml:space="preserve">High</t>
        </is>
      </c>
      <c r="C18" s="2" t="inlineStr">
        <is>
          <t xml:space="preserve">XIII Bank accounts</t>
        </is>
      </c>
      <c r="D18" s="2" t="inlineStr">
        <is>
          <t xml:space="preserve">0 rows (P006 fires)</t>
        </is>
      </c>
      <c r="E18" s="2" t="inlineStr">
        <is>
          <t xml:space="preserve">Add one bank row with all 4 fields. NOTE: rows save immediately. Then press Check and Calculate.</t>
        </is>
      </c>
      <c r="F18" s="2" t="inlineStr">
        <is>
          <t xml:space="preserve">P006 should disappear. Confirms one row is enough.</t>
        </is>
      </c>
      <c r="G18" s="2" t="inlineStr">
        <is>
          <t xml:space="preserve">See P006</t>
        </is>
      </c>
      <c r="H18" s="2"/>
      <c r="I18" s="2"/>
      <c r="J18" s="2" t="inlineStr">
        <is>
          <t xml:space="preserve">Delete the test row (Delete button on the row).</t>
        </is>
      </c>
      <c r="K18" s="2" t="inlineStr">
        <is>
          <t xml:space="preserve">R050, P006, P016</t>
        </is>
      </c>
    </row>
    <row r="19">
      <c r="A19" s="2" t="inlineStr">
        <is>
          <t xml:space="preserve">T17</t>
        </is>
      </c>
      <c r="B19" s="2" t="inlineStr">
        <is>
          <t xml:space="preserve">High</t>
        </is>
      </c>
      <c r="C19" s="2" t="inlineStr">
        <is>
          <t xml:space="preserve">XIII Bank accounts row</t>
        </is>
      </c>
      <c r="D19" s="2" t="inlineStr">
        <is>
          <t xml:space="preserve">Adding a row</t>
        </is>
      </c>
      <c r="E19" s="2" t="inlineStr">
        <is>
          <t xml:space="preserve">Try to save a bank row with Currency left as 'Select Currency'.</t>
        </is>
      </c>
      <c r="F19" s="2" t="inlineStr">
        <is>
          <t xml:space="preserve">Row refused (client-side).</t>
        </is>
      </c>
      <c r="G19" s="2" t="inlineStr">
        <is>
          <t xml:space="preserve">The Currency field is required.</t>
        </is>
      </c>
      <c r="H19" s="2"/>
      <c r="I19" s="2"/>
      <c r="J19" s="2" t="inlineStr">
        <is>
          <t xml:space="preserve">Cancel the row.</t>
        </is>
      </c>
      <c r="K19" s="2" t="inlineStr">
        <is>
          <t xml:space="preserve">P016</t>
        </is>
      </c>
    </row>
    <row r="20">
      <c r="A20" s="2" t="inlineStr">
        <is>
          <t xml:space="preserve">T18</t>
        </is>
      </c>
      <c r="B20" s="2" t="inlineStr">
        <is>
          <t xml:space="preserve">High</t>
        </is>
      </c>
      <c r="C20" s="2" t="inlineStr">
        <is>
          <t xml:space="preserve">Section B: amount boxes</t>
        </is>
      </c>
      <c r="D20" s="2" t="inlineStr">
        <is>
          <t xml:space="preserve">Figures as filed</t>
        </is>
      </c>
      <c r="E20" s="2" t="inlineStr">
        <is>
          <t xml:space="preserve">Enter a negative figure in a manual Section B income box (e.g. the turnover / revenue box).</t>
        </is>
      </c>
      <c r="F20" s="2" t="inlineStr">
        <is>
          <t xml:space="preserve">Shows whether negatives are blocked on income boxes.</t>
        </is>
      </c>
      <c r="G20" s="2" t="inlineStr">
        <is>
          <t xml:space="preserve">Unknown</t>
        </is>
      </c>
      <c r="H20" s="2"/>
      <c r="I20" s="2"/>
      <c r="J20" s="2" t="inlineStr">
        <is>
          <t xml:space="preserve">Re-enter original figure.</t>
        </is>
      </c>
      <c r="K20" s="2" t="inlineStr">
        <is>
          <t xml:space="preserve">-</t>
        </is>
      </c>
    </row>
    <row r="21">
      <c r="A21" s="2" t="inlineStr">
        <is>
          <t xml:space="preserve">T19</t>
        </is>
      </c>
      <c r="B21" s="2" t="inlineStr">
        <is>
          <t xml:space="preserve">High</t>
        </is>
      </c>
      <c r="C21" s="2" t="inlineStr">
        <is>
          <t xml:space="preserve">Computation: Box B foreign tax credit</t>
        </is>
      </c>
      <c r="D21" s="2" t="inlineStr">
        <is>
          <t xml:space="preserve">Resident</t>
        </is>
      </c>
      <c r="E21" s="2" t="inlineStr">
        <is>
          <t xml:space="preserve">Enter a Box B figure greater than Box A.</t>
        </is>
      </c>
      <c r="F21" s="2" t="inlineStr">
        <is>
          <t xml:space="preserve">PDF: no cap (C can go negative). Shows whether the portal caps it.</t>
        </is>
      </c>
      <c r="G21" s="2" t="inlineStr">
        <is>
          <t xml:space="preserve">Unknown</t>
        </is>
      </c>
      <c r="H21" s="2"/>
      <c r="I21" s="2"/>
      <c r="J21" s="2" t="inlineStr">
        <is>
          <t xml:space="preserve">Re-enter original (usually 0).</t>
        </is>
      </c>
      <c r="K21" s="2" t="inlineStr">
        <is>
          <t xml:space="preserve">R016, R017</t>
        </is>
      </c>
    </row>
    <row r="22">
      <c r="A22" s="2" t="inlineStr">
        <is>
          <t xml:space="preserve">T20</t>
        </is>
      </c>
      <c r="B22" s="2" t="inlineStr">
        <is>
          <t xml:space="preserve">High</t>
        </is>
      </c>
      <c r="C22" s="2" t="inlineStr">
        <is>
          <t xml:space="preserve">Computation: Box N amount being paid</t>
        </is>
      </c>
      <c r="D22" s="2" t="inlineStr">
        <is>
          <t xml:space="preserve">As filed</t>
        </is>
      </c>
      <c r="E22" s="2" t="inlineStr">
        <is>
          <t xml:space="preserve">Enter a Box N figure different from Box M.</t>
        </is>
      </c>
      <c r="F22" s="2" t="inlineStr">
        <is>
          <t xml:space="preserve">PDF: not compared. Shows whether the portal warns.</t>
        </is>
      </c>
      <c r="G22" s="2" t="inlineStr">
        <is>
          <t xml:space="preserve">Unknown</t>
        </is>
      </c>
      <c r="H22" s="2"/>
      <c r="I22" s="2"/>
      <c r="J22" s="2" t="inlineStr">
        <is>
          <t xml:space="preserve">Re-enter original.</t>
        </is>
      </c>
      <c r="K22" s="2" t="inlineStr">
        <is>
          <t xml:space="preserve">R024</t>
        </is>
      </c>
    </row>
    <row r="23">
      <c r="A23" s="2" t="inlineStr">
        <is>
          <t xml:space="preserve">T21</t>
        </is>
      </c>
      <c r="B23" s="2" t="inlineStr">
        <is>
          <t xml:space="preserve">Medium</t>
        </is>
      </c>
      <c r="C23" s="2" t="inlineStr">
        <is>
          <t xml:space="preserve">Box 31-33 / 159-161 allocation (Note 1)</t>
        </is>
      </c>
      <c r="D23" s="2" t="inlineStr">
        <is>
          <t xml:space="preserve">As filed</t>
        </is>
      </c>
      <c r="E23" s="2" t="inlineStr">
        <is>
          <t xml:space="preserve">If the box is typeable, enter more than the box it is capped by (e.g. Box 159 &gt; Box 156).</t>
        </is>
      </c>
      <c r="F23" s="2" t="inlineStr">
        <is>
          <t xml:space="preserve">Note 1 says it must not exceed; shows whether the portal blocks or recalculates.</t>
        </is>
      </c>
      <c r="G23" s="2" t="inlineStr">
        <is>
          <t xml:space="preserve">Unknown</t>
        </is>
      </c>
      <c r="H23" s="2"/>
      <c r="I23" s="2"/>
      <c r="J23" s="2" t="inlineStr">
        <is>
          <t xml:space="preserve">Re-enter original.</t>
        </is>
      </c>
      <c r="K23" s="2" t="inlineStr">
        <is>
          <t xml:space="preserve">Note 1 rules</t>
        </is>
      </c>
    </row>
    <row r="24">
      <c r="A24" s="2" t="inlineStr">
        <is>
          <t xml:space="preserve">T22</t>
        </is>
      </c>
      <c r="B24" s="2" t="inlineStr">
        <is>
          <t xml:space="preserve">Medium</t>
        </is>
      </c>
      <c r="C24" s="2" t="inlineStr">
        <is>
          <t xml:space="preserve">Box 192 tax brackets (Note 5)</t>
        </is>
      </c>
      <c r="D24" s="2" t="inlineStr">
        <is>
          <t xml:space="preserve">As filed</t>
        </is>
      </c>
      <c r="E24" s="2" t="inlineStr">
        <is>
          <t xml:space="preserve">If brackets are typeable, put more into the 0% bracket than its size.</t>
        </is>
      </c>
      <c r="F24" s="2" t="inlineStr">
        <is>
          <t xml:space="preserve">Note 5: amounts must not exceed the bracket size.</t>
        </is>
      </c>
      <c r="G24" s="2" t="inlineStr">
        <is>
          <t xml:space="preserve">Unknown</t>
        </is>
      </c>
      <c r="H24" s="2"/>
      <c r="I24" s="2"/>
      <c r="J24" s="2" t="inlineStr">
        <is>
          <t xml:space="preserve">Re-enter original.</t>
        </is>
      </c>
      <c r="K24" s="2" t="inlineStr">
        <is>
          <t xml:space="preserve">Note 4/5 rules</t>
        </is>
      </c>
    </row>
    <row r="25">
      <c r="A25" s="2" t="inlineStr">
        <is>
          <t xml:space="preserve">T23</t>
        </is>
      </c>
      <c r="B25" s="2" t="inlineStr">
        <is>
          <t xml:space="preserve">Medium</t>
        </is>
      </c>
      <c r="C25" s="2" t="inlineStr">
        <is>
          <t xml:space="preserve">Group companies count (A) vs X Group companies table</t>
        </is>
      </c>
      <c r="D25" s="2" t="inlineStr">
        <is>
          <t xml:space="preserve">As filed</t>
        </is>
      </c>
      <c r="E25" s="2" t="inlineStr">
        <is>
          <t xml:space="preserve">(a) Enter a count of 2 with no rows in table X. (b) Add 1 row but leave count 0. (Rows save immediately.)</t>
        </is>
      </c>
      <c r="F25" s="2" t="inlineStr">
        <is>
          <t xml:space="preserve">Shows whether the count must match the table.</t>
        </is>
      </c>
      <c r="G25" s="2" t="inlineStr">
        <is>
          <t xml:space="preserve">Unknown</t>
        </is>
      </c>
      <c r="H25" s="2" t="inlineStr">
        <is>
          <t xml:space="preserve">Record (a), (b)</t>
        </is>
      </c>
      <c r="I25" s="2"/>
      <c r="J25" s="2" t="inlineStr">
        <is>
          <t xml:space="preserve">Restore count; delete any test row.</t>
        </is>
      </c>
      <c r="K25" s="2" t="inlineStr">
        <is>
          <t xml:space="preserve">R008, R047, P019</t>
        </is>
      </c>
    </row>
    <row r="26">
      <c r="A26" s="2" t="inlineStr">
        <is>
          <t xml:space="preserve">T24</t>
        </is>
      </c>
      <c r="B26" s="2" t="inlineStr">
        <is>
          <t xml:space="preserve">Medium</t>
        </is>
      </c>
      <c r="C26" s="2" t="inlineStr">
        <is>
          <t xml:space="preserve">VII Thin capitalisation</t>
        </is>
      </c>
      <c r="D26" s="2" t="inlineStr">
        <is>
          <t xml:space="preserve">As filed</t>
        </is>
      </c>
      <c r="E26" s="2" t="inlineStr">
        <is>
          <t xml:space="preserve">(a) Untick all (a)-(d). (b) Tick two of them.</t>
        </is>
      </c>
      <c r="F26" s="2" t="inlineStr">
        <is>
          <t xml:space="preserve">Shows whether the item is required or single-choice.</t>
        </is>
      </c>
      <c r="G26" s="2" t="inlineStr">
        <is>
          <t xml:space="preserve">Unknown</t>
        </is>
      </c>
      <c r="H26" s="2" t="inlineStr">
        <is>
          <t xml:space="preserve">Record (a), (b)</t>
        </is>
      </c>
      <c r="I26" s="2"/>
      <c r="J26" s="2" t="inlineStr">
        <is>
          <t xml:space="preserve">Restore original ticks.</t>
        </is>
      </c>
      <c r="K26" s="2" t="inlineStr">
        <is>
          <t xml:space="preserve">R044</t>
        </is>
      </c>
    </row>
    <row r="27">
      <c r="A27" s="2" t="inlineStr">
        <is>
          <t xml:space="preserve">T25</t>
        </is>
      </c>
      <c r="B27" s="2" t="inlineStr">
        <is>
          <t xml:space="preserve">Medium</t>
        </is>
      </c>
      <c r="C27" s="2" t="inlineStr">
        <is>
          <t xml:space="preserve">VIII Section 11(r) only? / IX Special return s.48</t>
        </is>
      </c>
      <c r="D27" s="2" t="inlineStr">
        <is>
          <t xml:space="preserve">Answered</t>
        </is>
      </c>
      <c r="E27" s="2" t="inlineStr">
        <is>
          <t xml:space="preserve">Clear the Yes/No answer on VIII, then on IX (one at a time).</t>
        </is>
      </c>
      <c r="F27" s="2" t="inlineStr">
        <is>
          <t xml:space="preserve">Error expected if mandatory.</t>
        </is>
      </c>
      <c r="G27" s="2" t="inlineStr">
        <is>
          <t xml:space="preserve">Unknown</t>
        </is>
      </c>
      <c r="H27" s="2" t="inlineStr">
        <is>
          <t xml:space="preserve">Record VIII, IX</t>
        </is>
      </c>
      <c r="I27" s="2"/>
      <c r="J27" s="2" t="inlineStr">
        <is>
          <t xml:space="preserve">Re-select original answers.</t>
        </is>
      </c>
      <c r="K27" s="2" t="inlineStr">
        <is>
          <t xml:space="preserve">R045, R046</t>
        </is>
      </c>
    </row>
    <row r="28">
      <c r="A28" s="2" t="inlineStr">
        <is>
          <t xml:space="preserve">T26</t>
        </is>
      </c>
      <c r="B28" s="2" t="inlineStr">
        <is>
          <t xml:space="preserve">Medium</t>
        </is>
      </c>
      <c r="C28" s="2" t="inlineStr">
        <is>
          <t xml:space="preserve">I Basis of accounts</t>
        </is>
      </c>
      <c r="D28" s="2" t="inlineStr">
        <is>
          <t xml:space="preserve">Accrual/Cash ticked</t>
        </is>
      </c>
      <c r="E28" s="2" t="inlineStr">
        <is>
          <t xml:space="preserve">Untick both.</t>
        </is>
      </c>
      <c r="F28" s="2" t="inlineStr">
        <is>
          <t xml:space="preserve">Error expected.</t>
        </is>
      </c>
      <c r="G28" s="2" t="inlineStr">
        <is>
          <t xml:space="preserve">Unknown</t>
        </is>
      </c>
      <c r="H28" s="2"/>
      <c r="I28" s="2"/>
      <c r="J28" s="2" t="inlineStr">
        <is>
          <t xml:space="preserve">Re-tick original.</t>
        </is>
      </c>
      <c r="K28" s="2" t="inlineStr">
        <is>
          <t xml:space="preserve">R034</t>
        </is>
      </c>
    </row>
    <row r="29">
      <c r="A29" s="2" t="inlineStr">
        <is>
          <t xml:space="preserve">T27</t>
        </is>
      </c>
      <c r="B29" s="2" t="inlineStr">
        <is>
          <t xml:space="preserve">Medium</t>
        </is>
      </c>
      <c r="C29" s="2" t="inlineStr">
        <is>
          <t xml:space="preserve">Document checklist ticks</t>
        </is>
      </c>
      <c r="D29" s="2" t="inlineStr">
        <is>
          <t xml:space="preserve">As filed</t>
        </is>
      </c>
      <c r="E29" s="2" t="inlineStr">
        <is>
          <t xml:space="preserve">Untick all checklist boxes (financial statements, notes, audit, etc.).</t>
        </is>
      </c>
      <c r="F29" s="2" t="inlineStr">
        <is>
          <t xml:space="preserve">Shows whether ticks are checked separately from uploads (P007-P009).</t>
        </is>
      </c>
      <c r="G29" s="2" t="inlineStr">
        <is>
          <t xml:space="preserve">Unknown</t>
        </is>
      </c>
      <c r="H29" s="2"/>
      <c r="I29" s="2"/>
      <c r="J29" s="2" t="inlineStr">
        <is>
          <t xml:space="preserve">Re-tick original boxes.</t>
        </is>
      </c>
      <c r="K29" s="2" t="inlineStr">
        <is>
          <t xml:space="preserve">R032</t>
        </is>
      </c>
    </row>
    <row r="30">
      <c r="A30" s="2" t="inlineStr">
        <is>
          <t xml:space="preserve">T28</t>
        </is>
      </c>
      <c r="B30" s="2" t="inlineStr">
        <is>
          <t xml:space="preserve">Medium</t>
        </is>
      </c>
      <c r="C30" s="2" t="inlineStr">
        <is>
          <t xml:space="preserve">Schedule 4 item 3A</t>
        </is>
      </c>
      <c r="D30" s="2" t="inlineStr">
        <is>
          <t xml:space="preserve">Schedule 4 showing</t>
        </is>
      </c>
      <c r="E30" s="2" t="inlineStr">
        <is>
          <t xml:space="preserve">Clear both item 3A boxes, press Check and Calculate.</t>
        </is>
      </c>
      <c r="F30" s="2" t="inlineStr">
        <is>
          <t xml:space="preserve">Browser alert, boxes outlined red, nothing sent to server.</t>
        </is>
      </c>
      <c r="G30" s="2" t="inlineStr">
        <is>
          <t xml:space="preserve">Item no 3A cannot be left blank; if there is no sale/purchase to report, then enter 0.</t>
        </is>
      </c>
      <c r="H30" s="2"/>
      <c r="I30" s="2"/>
      <c r="J30" s="2" t="inlineStr">
        <is>
          <t xml:space="preserve">Re-enter original (or 0).</t>
        </is>
      </c>
      <c r="K30" s="2" t="inlineStr">
        <is>
          <t xml:space="preserve">P011</t>
        </is>
      </c>
    </row>
    <row r="31">
      <c r="A31" s="2" t="inlineStr">
        <is>
          <t xml:space="preserve">T29</t>
        </is>
      </c>
      <c r="B31" s="2" t="inlineStr">
        <is>
          <t xml:space="preserve">Medium</t>
        </is>
      </c>
      <c r="C31" s="2" t="inlineStr">
        <is>
          <t xml:space="preserve">Schedule 4 item 4.3(a) / (b)</t>
        </is>
      </c>
      <c r="D31" s="2" t="inlineStr">
        <is>
          <t xml:space="preserve">Errors P001/P002 fire</t>
        </is>
      </c>
      <c r="E31" s="2" t="inlineStr">
        <is>
          <t xml:space="preserve">Tick 'did not receive any loans from associates' and 'did not give any loans to associates'.</t>
        </is>
      </c>
      <c r="F31" s="2" t="inlineStr">
        <is>
          <t xml:space="preserve">P001 and P002 should disappear.</t>
        </is>
      </c>
      <c r="G31" s="2" t="inlineStr">
        <is>
          <t xml:space="preserve">See P001, P002</t>
        </is>
      </c>
      <c r="H31" s="2"/>
      <c r="I31" s="2"/>
      <c r="J31" s="2" t="inlineStr">
        <is>
          <t xml:space="preserve">Untick both.</t>
        </is>
      </c>
      <c r="K31" s="2" t="inlineStr">
        <is>
          <t xml:space="preserve">P001, P002</t>
        </is>
      </c>
    </row>
    <row r="32">
      <c r="A32" s="2" t="inlineStr">
        <is>
          <t xml:space="preserve">T30</t>
        </is>
      </c>
      <c r="B32" s="2" t="inlineStr">
        <is>
          <t xml:space="preserve">Medium</t>
        </is>
      </c>
      <c r="C32" s="2" t="inlineStr">
        <is>
          <t xml:space="preserve">Schedule 4 conditions block</t>
        </is>
      </c>
      <c r="D32" s="2" t="inlineStr">
        <is>
          <t xml:space="preserve">As filed</t>
        </is>
      </c>
      <c r="E32" s="2" t="inlineStr">
        <is>
          <t xml:space="preserve">(a) Untick all conditions and the 'not required' box. (b) Tick 'not required' and a condition together.</t>
        </is>
      </c>
      <c r="F32" s="2" t="inlineStr">
        <is>
          <t xml:space="preserve">Shows whether one choice is mandatory and whether the combination is rejected.</t>
        </is>
      </c>
      <c r="G32" s="2" t="inlineStr">
        <is>
          <t xml:space="preserve">Unknown</t>
        </is>
      </c>
      <c r="H32" s="2" t="inlineStr">
        <is>
          <t xml:space="preserve">Record (a), (b)</t>
        </is>
      </c>
      <c r="I32" s="2"/>
      <c r="J32" s="2" t="inlineStr">
        <is>
          <t xml:space="preserve">Restore original ticks.</t>
        </is>
      </c>
      <c r="K32" s="2" t="inlineStr">
        <is>
          <t xml:space="preserve">-</t>
        </is>
      </c>
    </row>
    <row r="33">
      <c r="A33" s="2" t="inlineStr">
        <is>
          <t xml:space="preserve">T31</t>
        </is>
      </c>
      <c r="B33" s="2" t="inlineStr">
        <is>
          <t xml:space="preserve">Medium</t>
        </is>
      </c>
      <c r="C33" s="2" t="inlineStr">
        <is>
          <t xml:space="preserve">Schedule 4 part 1 shareholders</t>
        </is>
      </c>
      <c r="D33" s="2" t="inlineStr">
        <is>
          <t xml:space="preserve">As filed</t>
        </is>
      </c>
      <c r="E33" s="2" t="inlineStr">
        <is>
          <t xml:space="preserve">Note the total of shareholding %. If you can, add a test row so the total exceeds 100%.</t>
        </is>
      </c>
      <c r="F33" s="2" t="inlineStr">
        <is>
          <t xml:space="preserve">Shows whether the total is checked (rows save immediately).</t>
        </is>
      </c>
      <c r="G33" s="2" t="inlineStr">
        <is>
          <t xml:space="preserve">Unknown</t>
        </is>
      </c>
      <c r="H33" s="2"/>
      <c r="I33" s="2"/>
      <c r="J33" s="2" t="inlineStr">
        <is>
          <t xml:space="preserve">Delete the test row.</t>
        </is>
      </c>
      <c r="K33" s="2" t="inlineStr">
        <is>
          <t xml:space="preserve">P023</t>
        </is>
      </c>
    </row>
    <row r="34">
      <c r="A34" s="2" t="inlineStr">
        <is>
          <t xml:space="preserve">T32</t>
        </is>
      </c>
      <c r="B34" s="2" t="inlineStr">
        <is>
          <t xml:space="preserve">Medium</t>
        </is>
      </c>
      <c r="C34" s="2" t="inlineStr">
        <is>
          <t xml:space="preserve">Supporting documents</t>
        </is>
      </c>
      <c r="D34" s="2" t="inlineStr">
        <is>
          <t xml:space="preserve">None uploaded (P007-P009 fire)</t>
        </is>
      </c>
      <c r="E34" s="2" t="inlineStr">
        <is>
          <t xml:space="preserve">Only if you have the real documents ready: upload the auditor's report only.</t>
        </is>
      </c>
      <c r="F34" s="2" t="inlineStr">
        <is>
          <t xml:space="preserve">P008 should disappear; P007 and P009 remain. Also note whether the 'I declare that the Auditor's Report...' tick becomes required.</t>
        </is>
      </c>
      <c r="G34" s="2" t="inlineStr">
        <is>
          <t xml:space="preserve">See P007-P009</t>
        </is>
      </c>
      <c r="H34" s="2"/>
      <c r="I34" s="2"/>
      <c r="J34" s="2" t="inlineStr">
        <is>
          <t xml:space="preserve">Keep (they are needed anyway) or delete the upload.</t>
        </is>
      </c>
      <c r="K34" s="2" t="inlineStr">
        <is>
          <t xml:space="preserve">P007-P009</t>
        </is>
      </c>
    </row>
    <row r="35">
      <c r="A35" s="2" t="inlineStr">
        <is>
          <t xml:space="preserve">T33</t>
        </is>
      </c>
      <c r="B35" s="2" t="inlineStr">
        <is>
          <t xml:space="preserve">Low</t>
        </is>
      </c>
      <c r="C35" s="2" t="inlineStr">
        <is>
          <t xml:space="preserve">Statement of donations row</t>
        </is>
      </c>
      <c r="D35" s="2" t="inlineStr">
        <is>
          <t xml:space="preserve">Adding a row</t>
        </is>
      </c>
      <c r="E35" s="2" t="inlineStr">
        <is>
          <t xml:space="preserve">Add a donation dated outside 2025, then press Check and Calculate.</t>
        </is>
      </c>
      <c r="F35" s="2" t="inlineStr">
        <is>
          <t xml:space="preserve">Shows whether the date must fall in the tax year (not checked client-side).</t>
        </is>
      </c>
      <c r="G35" s="2" t="inlineStr">
        <is>
          <t xml:space="preserve">Unknown</t>
        </is>
      </c>
      <c r="H35" s="2"/>
      <c r="I35" s="2"/>
      <c r="J35" s="2" t="inlineStr">
        <is>
          <t xml:space="preserve">Delete the test row.</t>
        </is>
      </c>
      <c r="K35" s="2" t="inlineStr">
        <is>
          <t xml:space="preserve">R177, P021</t>
        </is>
      </c>
    </row>
    <row r="36">
      <c r="A36" s="2" t="inlineStr">
        <is>
          <t xml:space="preserve">T34</t>
        </is>
      </c>
      <c r="B36" s="2" t="inlineStr">
        <is>
          <t xml:space="preserve">Low</t>
        </is>
      </c>
      <c r="C36" s="2" t="inlineStr">
        <is>
          <t xml:space="preserve">Statement of donations: Box 27 / 155</t>
        </is>
      </c>
      <c r="D36" s="2" t="inlineStr">
        <is>
          <t xml:space="preserve">Donations as filed</t>
        </is>
      </c>
      <c r="E36" s="2" t="inlineStr">
        <is>
          <t xml:space="preserve">Type a figure directly into Box 27 or Box 155.</t>
        </is>
      </c>
      <c r="F36" s="2" t="inlineStr">
        <is>
          <t xml:space="preserve">Box resets to 0 and the donations table opens.</t>
        </is>
      </c>
      <c r="G36" s="2" t="inlineStr">
        <is>
          <t xml:space="preserve">This value will be auto populated from statement of donations table. Please scroll down and fill the statement of donations table.</t>
        </is>
      </c>
      <c r="H36" s="2"/>
      <c r="I36" s="2"/>
      <c r="J36" s="2" t="inlineStr">
        <is>
          <t xml:space="preserve">None needed.</t>
        </is>
      </c>
      <c r="K36" s="2" t="inlineStr">
        <is>
          <t xml:space="preserve">P015</t>
        </is>
      </c>
    </row>
    <row r="37">
      <c r="A37" s="2" t="inlineStr">
        <is>
          <t xml:space="preserve">T35</t>
        </is>
      </c>
      <c r="B37" s="2" t="inlineStr">
        <is>
          <t xml:space="preserve">Low</t>
        </is>
      </c>
      <c r="C37" s="2" t="inlineStr">
        <is>
          <t xml:space="preserve">Sponsorship statements (teams / media)</t>
        </is>
      </c>
      <c r="D37" s="2" t="inlineStr">
        <is>
          <t xml:space="preserve">Adding a row</t>
        </is>
      </c>
      <c r="E37" s="2" t="inlineStr">
        <is>
          <t xml:space="preserve">Add a sponsorship paid outside 2025, then press Check and Calculate.</t>
        </is>
      </c>
      <c r="F37" s="2" t="inlineStr">
        <is>
          <t xml:space="preserve">Printed note: payment date must fall in the tax year. Shows whether it is enforced.</t>
        </is>
      </c>
      <c r="G37" s="2" t="inlineStr">
        <is>
          <t xml:space="preserve">Unknown</t>
        </is>
      </c>
      <c r="H37" s="2"/>
      <c r="I37" s="2"/>
      <c r="J37" s="2" t="inlineStr">
        <is>
          <t xml:space="preserve">Delete the test row.</t>
        </is>
      </c>
      <c r="K37" s="2" t="inlineStr">
        <is>
          <t xml:space="preserve">P022</t>
        </is>
      </c>
    </row>
    <row r="38">
      <c r="A38" s="2" t="inlineStr">
        <is>
          <t xml:space="preserve">T36</t>
        </is>
      </c>
      <c r="B38" s="2" t="inlineStr">
        <is>
          <t xml:space="preserve">Low</t>
        </is>
      </c>
      <c r="C38" s="2" t="inlineStr">
        <is>
          <t xml:space="preserve">Numeric boxes generally</t>
        </is>
      </c>
      <c r="D38" s="2" t="inlineStr">
        <is>
          <t xml:space="preserve">As filed</t>
        </is>
      </c>
      <c r="E38" s="2" t="inlineStr">
        <is>
          <t xml:space="preserve">Type 'abc' into any amount box and click away.</t>
        </is>
      </c>
      <c r="F38" s="2" t="inlineStr">
        <is>
          <t xml:space="preserve">Client-side format message.</t>
        </is>
      </c>
      <c r="G38" s="2" t="inlineStr">
        <is>
          <t xml:space="preserve">The field &lt;box&gt; must be a number.</t>
        </is>
      </c>
      <c r="H38" s="2"/>
      <c r="I38" s="2"/>
      <c r="J38" s="2" t="inlineStr">
        <is>
          <t xml:space="preserve">Re-enter original.</t>
        </is>
      </c>
      <c r="K38" s="2" t="inlineStr">
        <is>
          <t xml:space="preserve">P031</t>
        </is>
      </c>
    </row>
    <row r="39">
      <c r="A39" s="2" t="inlineStr">
        <is>
          <t xml:space="preserve">T37</t>
        </is>
      </c>
      <c r="B39" s="2" t="inlineStr">
        <is>
          <t xml:space="preserve">Low</t>
        </is>
      </c>
      <c r="C39" s="2" t="inlineStr">
        <is>
          <t xml:space="preserve">Schedule 6 items 8-13</t>
        </is>
      </c>
      <c r="D39" s="2" t="inlineStr">
        <is>
          <t xml:space="preserve">Schedule 6 not used</t>
        </is>
      </c>
      <c r="E39" s="2" t="inlineStr">
        <is>
          <t xml:space="preserve">Tick one item 8 box (e.g. 8.8 options) and leave item 11 empty.</t>
        </is>
      </c>
      <c r="F39" s="2" t="inlineStr">
        <is>
          <t xml:space="preserve">Shows whether the opened items become mandatory.</t>
        </is>
      </c>
      <c r="G39" s="2" t="inlineStr">
        <is>
          <t xml:space="preserve">Unknown</t>
        </is>
      </c>
      <c r="H39" s="2"/>
      <c r="I39" s="2"/>
      <c r="J39" s="2" t="inlineStr">
        <is>
          <t xml:space="preserve">Untick; items 9-13 clear automatically.</t>
        </is>
      </c>
      <c r="K39" s="2" t="inlineStr">
        <is>
          <t xml:space="preserve">P030</t>
        </is>
      </c>
    </row>
  </sheetData>
  <dataValidations count="1">
    <dataValidation type="list" allowBlank="1" showErrorMessage="1" sqref="I2:I39">
      <formula1>"As expected,Different message,No error,New error,Not run"</formula1>
    </dataValidation>
  </dataValidations>
  <pageMargins left="0.75" right="0.75" top="1" bottom="1" header="0.5" footer="0.5"/>
  <tableParts count="1">
    <tablePart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2026-10-19T19:31:46Z</dcterms:created>
  <dcterms:modified xmlns:dcterms="http://purl.org/dc/terms/" xmlns:xsi="http://www.w3.org/2001/XMLSchema-instance" xsi:type="dcterms:W3CDTF">2026-10-19T19:31:46Z</dcterms:modified>
</cp:coreProperties>
</file>